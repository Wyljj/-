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0745" windowHeight="9675" activeTab="0"/>
  </bookViews>
  <sheets>
    <sheet name="Sheet2" sheetId="1" r:id="rId1"/>
  </sheets>
  <calcPr calcId="191029"/>
</workbook>
</file>

<file path=xl/sharedStrings.xml><?xml version="1.0" encoding="utf-8"?>
<sst xmlns="http://schemas.openxmlformats.org/spreadsheetml/2006/main" uniqueCount="50" count="50">
  <si>
    <r>
      <rPr>
        <charset val="134"/>
        <sz val="10"/>
        <rFont val="宋体"/>
      </rPr>
      <t>类</t>
    </r>
  </si>
  <si>
    <r>
      <rPr>
        <charset val="134"/>
        <sz val="10"/>
        <rFont val="宋体"/>
      </rPr>
      <t>序</t>
    </r>
  </si>
  <si>
    <r>
      <rPr>
        <charset val="134"/>
        <sz val="10"/>
        <rFont val="宋体"/>
      </rPr>
      <t>喉道宽度</t>
    </r>
  </si>
  <si>
    <r>
      <rPr>
        <charset val="134"/>
        <sz val="10"/>
        <rFont val="宋体"/>
      </rPr>
      <t>流量公式</t>
    </r>
  </si>
  <si>
    <r>
      <rPr>
        <charset val="134"/>
        <sz val="10"/>
        <rFont val="宋体"/>
      </rPr>
      <t>水位范围</t>
    </r>
  </si>
  <si>
    <r>
      <rPr>
        <charset val="134"/>
        <sz val="10"/>
        <rFont val="宋体"/>
      </rPr>
      <t>流量范围</t>
    </r>
  </si>
  <si>
    <r>
      <rPr>
        <charset val="134"/>
        <sz val="10"/>
        <rFont val="宋体"/>
      </rPr>
      <t>临界淹没度</t>
    </r>
    <r>
      <rPr>
        <charset val="134"/>
        <sz val="10"/>
        <rFont val="Times New Roman"/>
      </rPr>
      <t>%</t>
    </r>
  </si>
  <si>
    <t>b(m)</t>
  </si>
  <si>
    <r>
      <rPr>
        <charset val="134"/>
        <sz val="10"/>
        <rFont val="Times New Roman"/>
      </rPr>
      <t>Q=Cha</t>
    </r>
    <r>
      <rPr>
        <charset val="134"/>
        <vertAlign val="superscript"/>
        <sz val="10"/>
        <rFont val="Times New Roman"/>
      </rPr>
      <t>n</t>
    </r>
  </si>
  <si>
    <t>h(m)</t>
  </si>
  <si>
    <t>Q(L/s)</t>
  </si>
  <si>
    <r>
      <rPr>
        <charset val="134"/>
        <sz val="10"/>
        <rFont val="宋体"/>
      </rPr>
      <t>别</t>
    </r>
  </si>
  <si>
    <r>
      <rPr>
        <charset val="134"/>
        <sz val="10"/>
        <rFont val="宋体"/>
      </rPr>
      <t>号</t>
    </r>
  </si>
  <si>
    <t>(L/s)</t>
  </si>
  <si>
    <r>
      <rPr>
        <charset val="134"/>
        <sz val="10"/>
        <rFont val="宋体"/>
      </rPr>
      <t>小</t>
    </r>
  </si>
  <si>
    <r>
      <rPr>
        <charset val="134"/>
        <sz val="10"/>
        <rFont val="宋体"/>
      </rPr>
      <t>大</t>
    </r>
  </si>
  <si>
    <r>
      <rPr>
        <charset val="134"/>
        <sz val="10"/>
        <rFont val="Times New Roman"/>
      </rPr>
      <t>60.4ha</t>
    </r>
    <r>
      <rPr>
        <charset val="134"/>
        <vertAlign val="superscript"/>
        <sz val="10"/>
        <rFont val="Times New Roman"/>
      </rPr>
      <t>1.55</t>
    </r>
  </si>
  <si>
    <r>
      <rPr>
        <charset val="134"/>
        <sz val="10"/>
        <rFont val="Times New Roman"/>
      </rPr>
      <t>120.7ha</t>
    </r>
    <r>
      <rPr>
        <charset val="134"/>
        <vertAlign val="superscript"/>
        <sz val="10"/>
        <rFont val="Times New Roman"/>
      </rPr>
      <t>1.55</t>
    </r>
  </si>
  <si>
    <r>
      <rPr>
        <charset val="134"/>
        <sz val="10"/>
        <rFont val="Times New Roman"/>
      </rPr>
      <t>177.1ha</t>
    </r>
    <r>
      <rPr>
        <charset val="134"/>
        <vertAlign val="superscript"/>
        <sz val="10"/>
        <rFont val="Times New Roman"/>
      </rPr>
      <t>1.55</t>
    </r>
  </si>
  <si>
    <r>
      <rPr>
        <charset val="134"/>
        <sz val="10"/>
        <rFont val="宋体"/>
      </rPr>
      <t>型</t>
    </r>
  </si>
  <si>
    <r>
      <rPr>
        <charset val="134"/>
        <sz val="10"/>
        <rFont val="Times New Roman"/>
      </rPr>
      <t>381.2ha</t>
    </r>
    <r>
      <rPr>
        <charset val="134"/>
        <vertAlign val="superscript"/>
        <sz val="10"/>
        <rFont val="Times New Roman"/>
      </rPr>
      <t>1.58</t>
    </r>
  </si>
  <si>
    <r>
      <rPr>
        <charset val="134"/>
        <sz val="10"/>
        <rFont val="Times New Roman"/>
      </rPr>
      <t>535.4ha</t>
    </r>
    <r>
      <rPr>
        <charset val="134"/>
        <vertAlign val="superscript"/>
        <sz val="10"/>
        <rFont val="Times New Roman"/>
      </rPr>
      <t>1.53</t>
    </r>
  </si>
  <si>
    <r>
      <rPr>
        <charset val="134"/>
        <sz val="10"/>
        <rFont val="Times New Roman"/>
      </rPr>
      <t>561ha</t>
    </r>
    <r>
      <rPr>
        <charset val="134"/>
        <vertAlign val="superscript"/>
        <sz val="10"/>
        <rFont val="Times New Roman"/>
      </rPr>
      <t>1.513</t>
    </r>
  </si>
  <si>
    <r>
      <rPr>
        <charset val="134"/>
        <sz val="10"/>
        <rFont val="Times New Roman"/>
      </rPr>
      <t>679ha</t>
    </r>
    <r>
      <rPr>
        <charset val="134"/>
        <vertAlign val="superscript"/>
        <sz val="10"/>
        <rFont val="Times New Roman"/>
      </rPr>
      <t>1.521</t>
    </r>
  </si>
  <si>
    <r>
      <rPr>
        <charset val="134"/>
        <sz val="10"/>
        <rFont val="宋体"/>
      </rPr>
      <t>标</t>
    </r>
  </si>
  <si>
    <r>
      <rPr>
        <charset val="134"/>
        <sz val="10"/>
        <rFont val="Times New Roman"/>
      </rPr>
      <t>1038ha</t>
    </r>
    <r>
      <rPr>
        <charset val="134"/>
        <vertAlign val="superscript"/>
        <sz val="10"/>
        <rFont val="Times New Roman"/>
      </rPr>
      <t>1.537</t>
    </r>
  </si>
  <si>
    <r>
      <rPr>
        <charset val="134"/>
        <sz val="10"/>
        <rFont val="Times New Roman"/>
      </rPr>
      <t>1403ha</t>
    </r>
    <r>
      <rPr>
        <charset val="134"/>
        <vertAlign val="superscript"/>
        <sz val="10"/>
        <rFont val="Times New Roman"/>
      </rPr>
      <t>1.548</t>
    </r>
  </si>
  <si>
    <r>
      <rPr>
        <charset val="134"/>
        <sz val="10"/>
        <rFont val="宋体"/>
      </rPr>
      <t>准</t>
    </r>
  </si>
  <si>
    <r>
      <rPr>
        <charset val="134"/>
        <sz val="10"/>
        <rFont val="Times New Roman"/>
      </rPr>
      <t>1772ha</t>
    </r>
    <r>
      <rPr>
        <charset val="134"/>
        <vertAlign val="superscript"/>
        <sz val="10"/>
        <rFont val="Times New Roman"/>
      </rPr>
      <t>1.557</t>
    </r>
  </si>
  <si>
    <r>
      <rPr>
        <charset val="134"/>
        <sz val="10"/>
        <rFont val="Times New Roman"/>
      </rPr>
      <t>2147ha</t>
    </r>
    <r>
      <rPr>
        <charset val="134"/>
        <vertAlign val="superscript"/>
        <sz val="10"/>
        <rFont val="Times New Roman"/>
      </rPr>
      <t>1.565</t>
    </r>
  </si>
  <si>
    <r>
      <rPr>
        <charset val="134"/>
        <sz val="10"/>
        <rFont val="Times New Roman"/>
      </rPr>
      <t>2397ha</t>
    </r>
    <r>
      <rPr>
        <charset val="134"/>
        <vertAlign val="superscript"/>
        <sz val="10"/>
        <rFont val="Times New Roman"/>
      </rPr>
      <t>1.569</t>
    </r>
  </si>
  <si>
    <r>
      <rPr>
        <charset val="134"/>
        <sz val="10"/>
        <rFont val="Times New Roman"/>
      </rPr>
      <t>2904ha</t>
    </r>
    <r>
      <rPr>
        <charset val="134"/>
        <vertAlign val="superscript"/>
        <sz val="10"/>
        <rFont val="Times New Roman"/>
      </rPr>
      <t>1.577</t>
    </r>
  </si>
  <si>
    <r>
      <rPr>
        <charset val="134"/>
        <sz val="10"/>
        <rFont val="Times New Roman"/>
      </rPr>
      <t>3668ha</t>
    </r>
    <r>
      <rPr>
        <charset val="134"/>
        <vertAlign val="superscript"/>
        <sz val="10"/>
        <rFont val="Times New Roman"/>
      </rPr>
      <t>1.586</t>
    </r>
  </si>
  <si>
    <r>
      <rPr>
        <charset val="134"/>
        <sz val="10"/>
        <rFont val="Times New Roman"/>
      </rPr>
      <t>4440ha</t>
    </r>
    <r>
      <rPr>
        <charset val="134"/>
        <vertAlign val="superscript"/>
        <sz val="10"/>
        <rFont val="Times New Roman"/>
      </rPr>
      <t>1.593</t>
    </r>
  </si>
  <si>
    <r>
      <rPr>
        <charset val="134"/>
        <sz val="10"/>
        <rFont val="Times New Roman"/>
      </rPr>
      <t>5222ha</t>
    </r>
    <r>
      <rPr>
        <charset val="134"/>
        <vertAlign val="superscript"/>
        <sz val="10"/>
        <rFont val="Times New Roman"/>
      </rPr>
      <t>1.599</t>
    </r>
  </si>
  <si>
    <r>
      <rPr>
        <charset val="134"/>
        <sz val="10"/>
        <rFont val="Times New Roman"/>
      </rPr>
      <t>6004ha</t>
    </r>
    <r>
      <rPr>
        <charset val="134"/>
        <vertAlign val="superscript"/>
        <sz val="10"/>
        <rFont val="Times New Roman"/>
      </rPr>
      <t>1.605</t>
    </r>
  </si>
  <si>
    <r>
      <rPr>
        <charset val="134"/>
        <sz val="10"/>
        <rFont val="Times New Roman"/>
      </rPr>
      <t>7463ha</t>
    </r>
    <r>
      <rPr>
        <charset val="134"/>
        <vertAlign val="superscript"/>
        <sz val="10"/>
        <rFont val="Times New Roman"/>
      </rPr>
      <t>1.6</t>
    </r>
  </si>
  <si>
    <r>
      <rPr>
        <charset val="134"/>
        <sz val="10"/>
        <rFont val="Times New Roman"/>
      </rPr>
      <t>8859ha</t>
    </r>
    <r>
      <rPr>
        <charset val="134"/>
        <vertAlign val="superscript"/>
        <sz val="10"/>
        <rFont val="Times New Roman"/>
      </rPr>
      <t>1.6</t>
    </r>
  </si>
  <si>
    <r>
      <rPr>
        <charset val="134"/>
        <sz val="10"/>
        <rFont val="Times New Roman"/>
      </rPr>
      <t>10960ha</t>
    </r>
    <r>
      <rPr>
        <charset val="134"/>
        <vertAlign val="superscript"/>
        <sz val="10"/>
        <rFont val="Times New Roman"/>
      </rPr>
      <t>1.6</t>
    </r>
  </si>
  <si>
    <r>
      <rPr>
        <charset val="134"/>
        <sz val="10"/>
        <rFont val="Times New Roman"/>
      </rPr>
      <t>14450ha</t>
    </r>
    <r>
      <rPr>
        <charset val="134"/>
        <vertAlign val="superscript"/>
        <sz val="10"/>
        <rFont val="Times New Roman"/>
      </rPr>
      <t>1.6</t>
    </r>
  </si>
  <si>
    <r>
      <rPr>
        <charset val="134"/>
        <sz val="10"/>
        <rFont val="Times New Roman"/>
      </rPr>
      <t>17940ha</t>
    </r>
    <r>
      <rPr>
        <charset val="134"/>
        <vertAlign val="superscript"/>
        <sz val="10"/>
        <rFont val="Times New Roman"/>
      </rPr>
      <t>1.6</t>
    </r>
  </si>
  <si>
    <r>
      <rPr>
        <charset val="134"/>
        <sz val="10"/>
        <rFont val="Times New Roman"/>
      </rPr>
      <t>21440ha</t>
    </r>
    <r>
      <rPr>
        <charset val="134"/>
        <vertAlign val="superscript"/>
        <sz val="10"/>
        <rFont val="Times New Roman"/>
      </rPr>
      <t>1.6</t>
    </r>
  </si>
  <si>
    <r>
      <rPr>
        <charset val="134"/>
        <sz val="10"/>
        <rFont val="Times New Roman"/>
      </rPr>
      <t>28430ha</t>
    </r>
    <r>
      <rPr>
        <charset val="134"/>
        <vertAlign val="superscript"/>
        <sz val="10"/>
        <rFont val="Times New Roman"/>
      </rPr>
      <t>1.6</t>
    </r>
  </si>
  <si>
    <r>
      <rPr>
        <charset val="134"/>
        <sz val="10"/>
        <rFont val="Times New Roman"/>
      </rPr>
      <t>35410ha</t>
    </r>
    <r>
      <rPr>
        <charset val="134"/>
        <vertAlign val="superscript"/>
        <sz val="10"/>
        <rFont val="Times New Roman"/>
      </rPr>
      <t>1.6</t>
    </r>
  </si>
  <si>
    <t>喉宽b</t>
  </si>
  <si>
    <t>指数n</t>
  </si>
  <si>
    <t>C（流量系数）</t>
  </si>
  <si>
    <t>液位高度(m）</t>
  </si>
  <si>
    <t>流量（L/S)</t>
  </si>
  <si>
    <t>m³/h</t>
  </si>
</sst>
</file>

<file path=xl/styles.xml><?xml version="1.0" encoding="utf-8"?>
<styleSheet xmlns="http://schemas.openxmlformats.org/spreadsheetml/2006/main">
  <numFmts count="3">
    <numFmt numFmtId="0" formatCode="General"/>
    <numFmt numFmtId="164" formatCode="0.00_ "/>
    <numFmt numFmtId="165" formatCode="0.0_ "/>
  </numFmts>
  <fonts count="5">
    <font>
      <name val="宋体"/>
      <sz val="11"/>
    </font>
    <font>
      <name val="Times New Roman"/>
      <charset val="134"/>
      <sz val="10"/>
    </font>
    <font>
      <name val="Times New Roman"/>
      <charset val="134"/>
      <sz val="11"/>
    </font>
    <font>
      <name val="Times New Roman"/>
      <charset val="134"/>
      <sz val="11"/>
    </font>
    <font>
      <name val="宋体"/>
      <charset val="134"/>
      <sz val="11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3" fillId="2" borderId="8" xfId="0" applyFont="1" applyFill="1" applyBorder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4" fillId="3" borderId="0" xfId="0" applyFill="1">
      <alignment vertical="center"/>
    </xf>
    <xf numFmtId="0" fontId="2" fillId="3" borderId="5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3" fillId="2" borderId="5" xfId="0" applyFont="1" applyFill="1" applyBorder="1">
      <alignment vertical="center"/>
    </xf>
    <xf numFmtId="0" fontId="4" fillId="4" borderId="4" xfId="0" applyFill="1" applyBorder="1">
      <alignment vertical="center"/>
    </xf>
    <xf numFmtId="0" fontId="4" fillId="4" borderId="4" xfId="0" applyFill="1" applyBorder="1" applyAlignment="1">
      <alignment horizontal="center" vertical="center"/>
    </xf>
    <xf numFmtId="0" fontId="4" fillId="4" borderId="4" xfId="0" applyFill="1" applyBorder="1" applyAlignment="1">
      <alignment horizontal="center" vertical="center" wrapText="1"/>
    </xf>
    <xf numFmtId="0" fontId="4" fillId="3" borderId="4" xfId="0" applyFill="1" applyBorder="1">
      <alignment vertical="center"/>
    </xf>
    <xf numFmtId="0" fontId="4" fillId="3" borderId="4" xfId="0" applyFill="1" applyBorder="1" applyAlignment="1">
      <alignment horizontal="center" vertical="center"/>
    </xf>
    <xf numFmtId="164" fontId="4" fillId="3" borderId="4" xfId="0" applyNumberFormat="1" applyFill="1" applyBorder="1" applyAlignment="1">
      <alignment horizontal="center" vertical="center"/>
    </xf>
    <xf numFmtId="165" fontId="4" fillId="3" borderId="4" xfId="0" applyNumberFormat="1" applyFill="1" applyBorder="1">
      <alignment vertical="center"/>
    </xf>
    <xf numFmtId="0" fontId="4" fillId="0" borderId="4" xfId="0" applyBorder="1">
      <alignment vertical="center"/>
    </xf>
    <xf numFmtId="0" fontId="4" fillId="0" borderId="4" xfId="0" applyBorder="1" applyAlignment="1">
      <alignment horizontal="center" vertical="center"/>
    </xf>
    <xf numFmtId="164" fontId="4" fillId="0" borderId="4" xfId="0" applyNumberFormat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41"/>
  <sheetViews>
    <sheetView tabSelected="1" workbookViewId="0" topLeftCell="A19">
      <selection activeCell="A34" sqref="A34:G41"/>
    </sheetView>
  </sheetViews>
  <sheetFormatPr defaultRowHeight="13.5" defaultColWidth="9"/>
  <cols>
    <col min="4" max="4" customWidth="1" width="14.0" style="0"/>
    <col min="7" max="7" customWidth="0" width="12.625" style="0"/>
  </cols>
  <sheetData>
    <row r="1" spans="8:8" ht="13.5" customHeight="1"/>
    <row r="2" spans="8:8" ht="13.5" customHeight="1"/>
    <row r="3" spans="8:8"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  <c r="G3" s="3"/>
      <c r="H3" s="2" t="s">
        <v>5</v>
      </c>
      <c r="I3" s="3"/>
      <c r="J3" s="4" t="s">
        <v>6</v>
      </c>
    </row>
    <row r="4" spans="8:8" ht="15.0">
      <c r="B4" s="5"/>
      <c r="C4" s="5"/>
      <c r="D4" s="6" t="s">
        <v>7</v>
      </c>
      <c r="E4" s="6" t="s">
        <v>8</v>
      </c>
      <c r="F4" s="7" t="s">
        <v>9</v>
      </c>
      <c r="G4" s="8"/>
      <c r="H4" s="7" t="s">
        <v>10</v>
      </c>
      <c r="I4" s="8"/>
      <c r="J4" s="4"/>
    </row>
    <row r="5" spans="8:8" ht="15.0">
      <c r="B5" s="9" t="s">
        <v>11</v>
      </c>
      <c r="C5" s="9" t="s">
        <v>12</v>
      </c>
      <c r="D5" s="10"/>
      <c r="E5" s="9" t="s">
        <v>13</v>
      </c>
      <c r="F5" s="4" t="s">
        <v>14</v>
      </c>
      <c r="G5" s="4" t="s">
        <v>15</v>
      </c>
      <c r="H5" s="4" t="s">
        <v>14</v>
      </c>
      <c r="I5" s="4" t="s">
        <v>15</v>
      </c>
      <c r="J5" s="4"/>
    </row>
    <row r="6" spans="8:8" ht="15.0">
      <c r="B6" s="11"/>
      <c r="C6" s="4">
        <v>1.0</v>
      </c>
      <c r="D6" s="4">
        <v>0.025</v>
      </c>
      <c r="E6" s="4" t="s">
        <v>16</v>
      </c>
      <c r="F6" s="4">
        <v>0.015</v>
      </c>
      <c r="G6" s="4">
        <v>0.21</v>
      </c>
      <c r="H6" s="4">
        <v>0.09</v>
      </c>
      <c r="I6" s="4">
        <v>5.4</v>
      </c>
      <c r="J6" s="4">
        <v>0.5</v>
      </c>
    </row>
    <row r="7" spans="8:8">
      <c r="B7" s="6" t="s">
        <v>14</v>
      </c>
      <c r="C7" s="4">
        <v>2.0</v>
      </c>
      <c r="D7" s="4">
        <v>0.051</v>
      </c>
      <c r="E7" s="4" t="s">
        <v>17</v>
      </c>
      <c r="F7" s="4">
        <v>0.015</v>
      </c>
      <c r="G7" s="4">
        <v>0.24</v>
      </c>
      <c r="H7" s="4">
        <v>0.18</v>
      </c>
      <c r="I7" s="4">
        <v>13.2</v>
      </c>
      <c r="J7" s="4">
        <v>0.5</v>
      </c>
    </row>
    <row r="8" spans="8:8" s="12" ht="15.0" customFormat="1">
      <c r="B8" s="13"/>
      <c r="C8" s="14">
        <v>3.0</v>
      </c>
      <c r="D8" s="14">
        <v>0.076</v>
      </c>
      <c r="E8" s="14" t="s">
        <v>18</v>
      </c>
      <c r="F8" s="14">
        <v>0.03</v>
      </c>
      <c r="G8" s="14">
        <v>0.33</v>
      </c>
      <c r="H8" s="14">
        <v>0.77</v>
      </c>
      <c r="I8" s="14">
        <v>32.1</v>
      </c>
      <c r="J8" s="14">
        <v>0.5</v>
      </c>
    </row>
    <row r="9" spans="8:8">
      <c r="B9" s="6" t="s">
        <v>19</v>
      </c>
      <c r="C9" s="4">
        <v>4.0</v>
      </c>
      <c r="D9" s="4">
        <v>0.152</v>
      </c>
      <c r="E9" s="4" t="s">
        <v>20</v>
      </c>
      <c r="F9" s="4">
        <v>0.03</v>
      </c>
      <c r="G9" s="4">
        <v>0.45</v>
      </c>
      <c r="H9" s="4">
        <v>1.5</v>
      </c>
      <c r="I9" s="4">
        <v>111.0</v>
      </c>
      <c r="J9" s="4">
        <v>0.6</v>
      </c>
    </row>
    <row r="10" spans="8:8" ht="15.0">
      <c r="B10" s="10"/>
      <c r="C10" s="4">
        <v>5.0</v>
      </c>
      <c r="D10" s="4">
        <v>0.228</v>
      </c>
      <c r="E10" s="4" t="s">
        <v>21</v>
      </c>
      <c r="F10" s="4">
        <v>0.03</v>
      </c>
      <c r="G10" s="4">
        <v>0.6</v>
      </c>
      <c r="H10" s="4">
        <v>2.5</v>
      </c>
      <c r="I10" s="4">
        <v>251.0</v>
      </c>
      <c r="J10" s="4">
        <v>0.6</v>
      </c>
    </row>
    <row r="11" spans="8:8" ht="15.0">
      <c r="B11" s="11"/>
      <c r="C11" s="4">
        <v>6.0</v>
      </c>
      <c r="D11" s="4">
        <v>0.25</v>
      </c>
      <c r="E11" s="4" t="s">
        <v>22</v>
      </c>
      <c r="F11" s="4">
        <v>0.03</v>
      </c>
      <c r="G11" s="4">
        <v>0.6</v>
      </c>
      <c r="H11" s="4">
        <v>3.0</v>
      </c>
      <c r="I11" s="4">
        <v>250.0</v>
      </c>
      <c r="J11" s="4">
        <v>0.6</v>
      </c>
    </row>
    <row r="12" spans="8:8" ht="15.0">
      <c r="B12" s="5"/>
      <c r="C12" s="4">
        <v>7.0</v>
      </c>
      <c r="D12" s="4">
        <v>0.3</v>
      </c>
      <c r="E12" s="4" t="s">
        <v>23</v>
      </c>
      <c r="F12" s="4">
        <v>0.03</v>
      </c>
      <c r="G12" s="4">
        <v>0.75</v>
      </c>
      <c r="H12" s="4">
        <v>3.5</v>
      </c>
      <c r="I12" s="4">
        <v>400.0</v>
      </c>
      <c r="J12" s="4">
        <v>0.6</v>
      </c>
    </row>
    <row r="13" spans="8:8">
      <c r="B13" s="6" t="s">
        <v>24</v>
      </c>
      <c r="C13" s="4">
        <v>8.0</v>
      </c>
      <c r="D13" s="4">
        <v>0.45</v>
      </c>
      <c r="E13" s="4" t="s">
        <v>25</v>
      </c>
      <c r="F13" s="4">
        <v>0.03</v>
      </c>
      <c r="G13" s="4">
        <v>0.75</v>
      </c>
      <c r="H13" s="4">
        <v>4.5</v>
      </c>
      <c r="I13" s="4">
        <v>630.0</v>
      </c>
      <c r="J13" s="4">
        <v>0.6</v>
      </c>
    </row>
    <row r="14" spans="8:8" ht="15.0">
      <c r="B14" s="5"/>
      <c r="C14" s="4">
        <v>9.0</v>
      </c>
      <c r="D14" s="4">
        <v>0.6</v>
      </c>
      <c r="E14" s="4" t="s">
        <v>26</v>
      </c>
      <c r="F14" s="4">
        <v>0.05</v>
      </c>
      <c r="G14" s="4">
        <v>0.75</v>
      </c>
      <c r="H14" s="4">
        <v>12.5</v>
      </c>
      <c r="I14" s="4">
        <v>850.0</v>
      </c>
      <c r="J14" s="4">
        <v>0.6</v>
      </c>
    </row>
    <row r="15" spans="8:8">
      <c r="B15" s="6" t="s">
        <v>27</v>
      </c>
      <c r="C15" s="4">
        <v>10.0</v>
      </c>
      <c r="D15" s="4">
        <v>0.75</v>
      </c>
      <c r="E15" s="4" t="s">
        <v>28</v>
      </c>
      <c r="F15" s="4">
        <v>0.06</v>
      </c>
      <c r="G15" s="4">
        <v>0.75</v>
      </c>
      <c r="H15" s="4">
        <v>25.0</v>
      </c>
      <c r="I15" s="4">
        <v>1100.0</v>
      </c>
      <c r="J15" s="4">
        <v>0.6</v>
      </c>
    </row>
    <row r="16" spans="8:8" ht="15.0">
      <c r="B16" s="5"/>
      <c r="C16" s="4">
        <v>11.0</v>
      </c>
      <c r="D16" s="4">
        <v>0.9</v>
      </c>
      <c r="E16" s="4" t="s">
        <v>29</v>
      </c>
      <c r="F16" s="4">
        <v>0.06</v>
      </c>
      <c r="G16" s="4">
        <v>0.75</v>
      </c>
      <c r="H16" s="4">
        <v>30.0</v>
      </c>
      <c r="I16" s="4">
        <v>1250.0</v>
      </c>
      <c r="J16" s="4">
        <v>0.6</v>
      </c>
    </row>
    <row r="17" spans="8:8" ht="15.0">
      <c r="B17" s="5"/>
      <c r="C17" s="4">
        <v>12.0</v>
      </c>
      <c r="D17" s="4">
        <v>1.0</v>
      </c>
      <c r="E17" s="4" t="s">
        <v>30</v>
      </c>
      <c r="F17" s="4">
        <v>0.06</v>
      </c>
      <c r="G17" s="4">
        <v>0.8</v>
      </c>
      <c r="H17" s="4">
        <v>30.0</v>
      </c>
      <c r="I17" s="4">
        <v>1500.0</v>
      </c>
      <c r="J17" s="4">
        <v>0.7</v>
      </c>
    </row>
    <row r="18" spans="8:8">
      <c r="B18" s="6" t="s">
        <v>19</v>
      </c>
      <c r="C18" s="4">
        <v>13.0</v>
      </c>
      <c r="D18" s="4">
        <v>1.2</v>
      </c>
      <c r="E18" s="4" t="s">
        <v>31</v>
      </c>
      <c r="F18" s="4">
        <v>0.06</v>
      </c>
      <c r="G18" s="4">
        <v>0.8</v>
      </c>
      <c r="H18" s="4">
        <v>35.0</v>
      </c>
      <c r="I18" s="4">
        <v>2000.0</v>
      </c>
      <c r="J18" s="4">
        <v>0.7</v>
      </c>
    </row>
    <row r="19" spans="8:8" ht="15.0">
      <c r="B19" s="15"/>
      <c r="C19" s="4">
        <v>14.0</v>
      </c>
      <c r="D19" s="4">
        <v>1.5</v>
      </c>
      <c r="E19" s="4" t="s">
        <v>32</v>
      </c>
      <c r="F19" s="4">
        <v>0.06</v>
      </c>
      <c r="G19" s="4">
        <v>0.8</v>
      </c>
      <c r="H19" s="4">
        <v>45.0</v>
      </c>
      <c r="I19" s="4">
        <v>2500.0</v>
      </c>
      <c r="J19" s="4">
        <v>0.7</v>
      </c>
    </row>
    <row r="20" spans="8:8" ht="15.0">
      <c r="B20" s="15"/>
      <c r="C20" s="4">
        <v>15.0</v>
      </c>
      <c r="D20" s="4">
        <v>1.8</v>
      </c>
      <c r="E20" s="4" t="s">
        <v>33</v>
      </c>
      <c r="F20" s="4">
        <v>0.08</v>
      </c>
      <c r="G20" s="4">
        <v>0.8</v>
      </c>
      <c r="H20" s="4">
        <v>80.0</v>
      </c>
      <c r="I20" s="4">
        <v>3000.0</v>
      </c>
      <c r="J20" s="4">
        <v>0.7</v>
      </c>
    </row>
    <row r="21" spans="8:8" ht="15.0">
      <c r="B21" s="15"/>
      <c r="C21" s="4">
        <v>16.0</v>
      </c>
      <c r="D21" s="4">
        <v>2.1</v>
      </c>
      <c r="E21" s="4" t="s">
        <v>34</v>
      </c>
      <c r="F21" s="4">
        <v>0.08</v>
      </c>
      <c r="G21" s="4">
        <v>0.8</v>
      </c>
      <c r="H21" s="4">
        <v>95.0</v>
      </c>
      <c r="I21" s="4">
        <v>3600.0</v>
      </c>
      <c r="J21" s="4">
        <v>0.7</v>
      </c>
    </row>
    <row r="22" spans="8:8" ht="15.0">
      <c r="B22" s="10"/>
      <c r="C22" s="4">
        <v>17.0</v>
      </c>
      <c r="D22" s="4">
        <v>2.4</v>
      </c>
      <c r="E22" s="4" t="s">
        <v>35</v>
      </c>
      <c r="F22" s="4">
        <v>0.08</v>
      </c>
      <c r="G22" s="4">
        <v>0.8</v>
      </c>
      <c r="H22" s="4">
        <v>100.0</v>
      </c>
      <c r="I22" s="4">
        <v>4000.0</v>
      </c>
      <c r="J22" s="4">
        <v>0.7</v>
      </c>
    </row>
    <row r="23" spans="8:8" ht="15.0">
      <c r="B23" s="11"/>
      <c r="C23" s="4">
        <v>18.0</v>
      </c>
      <c r="D23" s="4">
        <v>3.05</v>
      </c>
      <c r="E23" s="4" t="s">
        <v>36</v>
      </c>
      <c r="F23" s="4">
        <v>0.09</v>
      </c>
      <c r="G23" s="4">
        <v>1.07</v>
      </c>
      <c r="H23" s="4">
        <v>160.0</v>
      </c>
      <c r="I23" s="4">
        <v>8280.0</v>
      </c>
      <c r="J23" s="4">
        <v>0.8</v>
      </c>
    </row>
    <row r="24" spans="8:8" ht="15.0">
      <c r="B24" s="5"/>
      <c r="C24" s="4">
        <v>19.0</v>
      </c>
      <c r="D24" s="4">
        <v>3.66</v>
      </c>
      <c r="E24" s="4" t="s">
        <v>37</v>
      </c>
      <c r="F24" s="4">
        <v>0.09</v>
      </c>
      <c r="G24" s="4">
        <v>1.37</v>
      </c>
      <c r="H24" s="4">
        <v>190.0</v>
      </c>
      <c r="I24" s="4">
        <v>14680.0</v>
      </c>
      <c r="J24" s="4">
        <v>0.8</v>
      </c>
    </row>
    <row r="25" spans="8:8">
      <c r="B25" s="6" t="s">
        <v>15</v>
      </c>
      <c r="C25" s="4">
        <v>20.0</v>
      </c>
      <c r="D25" s="4">
        <v>4.57</v>
      </c>
      <c r="E25" s="4" t="s">
        <v>38</v>
      </c>
      <c r="F25" s="4">
        <v>0.09</v>
      </c>
      <c r="G25" s="4">
        <v>1.67</v>
      </c>
      <c r="H25" s="4">
        <v>230.0</v>
      </c>
      <c r="I25" s="4">
        <v>25040.0</v>
      </c>
      <c r="J25" s="4">
        <v>0.8</v>
      </c>
    </row>
    <row r="26" spans="8:8" ht="15.0">
      <c r="B26" s="5"/>
      <c r="C26" s="4">
        <v>21.0</v>
      </c>
      <c r="D26" s="4">
        <v>6.1</v>
      </c>
      <c r="E26" s="4" t="s">
        <v>39</v>
      </c>
      <c r="F26" s="4">
        <v>0.09</v>
      </c>
      <c r="G26" s="4">
        <v>1.83</v>
      </c>
      <c r="H26" s="4">
        <v>310.0</v>
      </c>
      <c r="I26" s="4">
        <v>37970.0</v>
      </c>
      <c r="J26" s="4">
        <v>0.8</v>
      </c>
    </row>
    <row r="27" spans="8:8" ht="15.0">
      <c r="B27" s="5"/>
      <c r="C27" s="4">
        <v>22.0</v>
      </c>
      <c r="D27" s="4">
        <v>7.62</v>
      </c>
      <c r="E27" s="4" t="s">
        <v>40</v>
      </c>
      <c r="F27" s="4">
        <v>0.09</v>
      </c>
      <c r="G27" s="4">
        <v>1.83</v>
      </c>
      <c r="H27" s="4">
        <v>380.0</v>
      </c>
      <c r="I27" s="4">
        <v>47160.0</v>
      </c>
      <c r="J27" s="4">
        <v>0.8</v>
      </c>
    </row>
    <row r="28" spans="8:8">
      <c r="B28" s="6" t="s">
        <v>19</v>
      </c>
      <c r="C28" s="4">
        <v>23.0</v>
      </c>
      <c r="D28" s="4">
        <v>9.14</v>
      </c>
      <c r="E28" s="4" t="s">
        <v>41</v>
      </c>
      <c r="F28" s="4">
        <v>0.09</v>
      </c>
      <c r="G28" s="4">
        <v>1.83</v>
      </c>
      <c r="H28" s="4">
        <v>460.0</v>
      </c>
      <c r="I28" s="4">
        <v>56330.0</v>
      </c>
      <c r="J28" s="4">
        <v>0.8</v>
      </c>
    </row>
    <row r="29" spans="8:8" ht="15.0">
      <c r="B29" s="15"/>
      <c r="C29" s="4">
        <v>24.0</v>
      </c>
      <c r="D29" s="4">
        <v>12.19</v>
      </c>
      <c r="E29" s="4" t="s">
        <v>42</v>
      </c>
      <c r="F29" s="4">
        <v>0.09</v>
      </c>
      <c r="G29" s="4">
        <v>1.83</v>
      </c>
      <c r="H29" s="4">
        <v>600.0</v>
      </c>
      <c r="I29" s="4">
        <v>74700.0</v>
      </c>
      <c r="J29" s="4">
        <v>0.8</v>
      </c>
    </row>
    <row r="30" spans="8:8" ht="15.0">
      <c r="B30" s="10"/>
      <c r="C30" s="4">
        <v>25.0</v>
      </c>
      <c r="D30" s="4">
        <v>15.24</v>
      </c>
      <c r="E30" s="4" t="s">
        <v>43</v>
      </c>
      <c r="F30" s="4">
        <v>0.09</v>
      </c>
      <c r="G30" s="4">
        <v>1.83</v>
      </c>
      <c r="H30" s="4">
        <v>750.0</v>
      </c>
      <c r="I30" s="4">
        <v>93040.0</v>
      </c>
      <c r="J30" s="4">
        <v>0.8</v>
      </c>
    </row>
    <row r="34" spans="8:8" ht="27.0">
      <c r="A34" s="16"/>
      <c r="B34" s="17" t="s">
        <v>44</v>
      </c>
      <c r="C34" s="17" t="s">
        <v>45</v>
      </c>
      <c r="D34" s="17" t="s">
        <v>46</v>
      </c>
      <c r="E34" s="17" t="s">
        <v>47</v>
      </c>
      <c r="F34" s="18" t="s">
        <v>48</v>
      </c>
      <c r="G34" s="17" t="s">
        <v>49</v>
      </c>
    </row>
    <row r="35" spans="8:8" s="12" ht="13.5" customFormat="1">
      <c r="A35" s="19">
        <v>45.0</v>
      </c>
      <c r="B35" s="20">
        <v>0.051</v>
      </c>
      <c r="C35" s="20">
        <v>1.55</v>
      </c>
      <c r="D35" s="20">
        <v>120.7</v>
      </c>
      <c r="E35" s="20">
        <v>0.06</v>
      </c>
      <c r="F35" s="21">
        <f>D35*E35^C35</f>
        <v>1.5411386358092611</v>
      </c>
      <c r="G35" s="22">
        <f>F35*3.6</f>
        <v>5.54809908891334</v>
      </c>
    </row>
    <row r="36" spans="8:8" s="12" ht="13.5" customFormat="1">
      <c r="A36" s="19">
        <v>47.0</v>
      </c>
      <c r="B36" s="20">
        <v>0.076</v>
      </c>
      <c r="C36" s="20">
        <v>1.55</v>
      </c>
      <c r="D36" s="20">
        <v>177.1</v>
      </c>
      <c r="E36" s="20">
        <v>0.075</v>
      </c>
      <c r="F36" s="21">
        <f>D36*E36^C36</f>
        <v>3.19568172762672</v>
      </c>
      <c r="G36" s="22">
        <f t="shared" si="0" ref="G36:G41">F36*3.6</f>
        <v>11.504454219456193</v>
      </c>
    </row>
    <row r="37" spans="8:8">
      <c r="A37" s="23">
        <v>48.0</v>
      </c>
      <c r="B37" s="24">
        <v>0.076</v>
      </c>
      <c r="C37" s="24">
        <v>1.55</v>
      </c>
      <c r="D37" s="24">
        <v>177.1</v>
      </c>
      <c r="E37" s="24">
        <v>0.088</v>
      </c>
      <c r="F37" s="25">
        <f t="shared" si="1" ref="F35:F41">D37*E37^C37</f>
        <v>4.094177837268219</v>
      </c>
      <c r="G37" s="22">
        <f t="shared" si="0"/>
        <v>14.73904021416559</v>
      </c>
    </row>
    <row r="38" spans="8:8" s="12" ht="13.5" customFormat="1">
      <c r="A38" s="19">
        <v>49.0</v>
      </c>
      <c r="B38" s="20">
        <v>0.076</v>
      </c>
      <c r="C38" s="20">
        <v>1.55</v>
      </c>
      <c r="D38" s="20">
        <v>177.1</v>
      </c>
      <c r="E38" s="20">
        <v>0.058</v>
      </c>
      <c r="F38" s="21">
        <f t="shared" si="1"/>
        <v>2.1455169565198813</v>
      </c>
      <c r="G38" s="22">
        <f t="shared" si="0"/>
        <v>7.723861043471572</v>
      </c>
    </row>
    <row r="39" spans="8:8">
      <c r="A39" s="23">
        <v>50.0</v>
      </c>
      <c r="B39" s="24">
        <v>0.076</v>
      </c>
      <c r="C39" s="24">
        <v>1.55</v>
      </c>
      <c r="D39" s="24">
        <v>177.1</v>
      </c>
      <c r="E39" s="24">
        <v>0.085</v>
      </c>
      <c r="F39" s="25">
        <f t="shared" si="1"/>
        <v>3.8798764483773627</v>
      </c>
      <c r="G39" s="22">
        <f t="shared" si="0"/>
        <v>13.967555214158505</v>
      </c>
    </row>
    <row r="40" spans="8:8">
      <c r="A40" s="23">
        <v>51.0</v>
      </c>
      <c r="B40" s="24">
        <v>0.076</v>
      </c>
      <c r="C40" s="24">
        <v>1.55</v>
      </c>
      <c r="D40" s="24">
        <v>177.1</v>
      </c>
      <c r="E40" s="24">
        <v>0.088</v>
      </c>
      <c r="F40" s="25">
        <f t="shared" si="1"/>
        <v>4.094177837268219</v>
      </c>
      <c r="G40" s="22">
        <f t="shared" si="0"/>
        <v>14.73904021416559</v>
      </c>
    </row>
    <row r="41" spans="8:8">
      <c r="A41" s="23">
        <v>52.0</v>
      </c>
      <c r="B41" s="24">
        <v>0.076</v>
      </c>
      <c r="C41" s="24">
        <v>1.55</v>
      </c>
      <c r="D41" s="24">
        <v>177.1</v>
      </c>
      <c r="E41" s="24">
        <v>0.088</v>
      </c>
      <c r="F41" s="25">
        <f t="shared" si="1"/>
        <v>4.094177837268219</v>
      </c>
      <c r="G41" s="22">
        <f t="shared" si="0"/>
        <v>14.73904021416559</v>
      </c>
    </row>
  </sheetData>
  <mergeCells count="5">
    <mergeCell ref="F3:G3"/>
    <mergeCell ref="H3:I3"/>
    <mergeCell ref="F4:G4"/>
    <mergeCell ref="H4:I4"/>
    <mergeCell ref="J3:J5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</cp:lastModifiedBy>
  <dcterms:created xsi:type="dcterms:W3CDTF">2023-03-31T02:23:00Z</dcterms:created>
  <dcterms:modified xsi:type="dcterms:W3CDTF">2024-09-05T04:00:34Z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756C1F7A4C1C44C19EAA05F8DCFF9EB1_11</vt:lpwstr>
  </property>
  <property fmtid="{D5CDD505-2E9C-101B-9397-08002B2CF9AE}" pid="3" name="KSOProductBuildVer">
    <vt:lpwstr>2052-12.1.0.17827</vt:lpwstr>
  </property>
</Properties>
</file>