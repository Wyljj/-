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626" firstSheet="2" activeTab="6"/>
  </bookViews>
  <sheets>
    <sheet name="Sheet1" sheetId="1" state="hidden" r:id="rId1"/>
    <sheet name="有组织废气" sheetId="2" r:id="rId2"/>
    <sheet name="O2和NMHC比对" sheetId="15" r:id="rId3"/>
    <sheet name="氮氧化物二氧化硫" sheetId="16" r:id="rId4"/>
    <sheet name="比对  颗粒物、流速、温度" sheetId="3" r:id="rId5"/>
    <sheet name="水质在线比对" sheetId="8" r:id="rId6"/>
    <sheet name="职业卫生" sheetId="17" r:id="rId7"/>
    <sheet name="水中化学平衡" sheetId="9" r:id="rId8"/>
    <sheet name="噪声测量" sheetId="10" r:id="rId9"/>
    <sheet name="误差计算" sheetId="11" r:id="rId10"/>
    <sheet name="示值误差" sheetId="7" r:id="rId11"/>
  </sheets>
  <definedNames>
    <definedName name="_xlnm._FilterDatabase" localSheetId="0" hidden="1">Sheet1!$A$1:$I$169</definedName>
    <definedName name="_ali_change_223388239">Sheet1!$A$285:$F$285,Sheet1!$C$300:$C$306,Sheet1!$C$308:$C$313,Sheet1!$C$316:$C$328,Sheet1!$C$330:$C$338,Sheet1!$C$341:$C$342,Sheet1!$C$344:$C$348,Sheet1!$C$350,Sheet1!$B$290:$B$357,Sheet1!$A$286:$E$289,Sheet1!$A$290:$A$299,Sheet1!$C$290:$E$298,Sheet1!$E$299:$E$301,Sheet1!$F$286:$F$301,Sheet1!$F$315,有组织废气!$E$3:$H$8,有组织废气!#REF!,有组织废气!$E$16:$H$17,有组织废气!$E$13:$H$14,有组织废气!$E$10:$H$11,有组织废气!$E$9:$G$9,有组织废气!$J$1,有组织废气!#REF!,有组织废气!$E$12:$G$12,#REF!,#REF!,#REF!,#REF!,#REF!,#REF!</definedName>
    <definedName name="_ali_change_223388246">Sheet1!$A$285:$F$285,Sheet1!$F$286:$F$288,Sheet1!$A$298:$F$298,Sheet1!$E$299:$F$303,Sheet1!$D$1,Sheet1!$A$304:$E$305,Sheet1!$C$306:$F$306,Sheet1!$C$307:$E$308,Sheet1!$A$306:$B$309,Sheet1!$C$309,Sheet1!$A$311:$D$313,Sheet1!$E$312:$F$313,Sheet1!$E$311,Sheet1!$F$304,Sheet1!$F$315,Sheet1!$G$304:$G$315,有组织废气!$E$3:$H$8,有组织废气!#REF!,有组织废气!$E$16:$H$17,有组织废气!$E$13:$H$14,有组织废气!$E$10:$H$11,有组织废气!$E$9:$G$9,有组织废气!$J$1,有组织废气!#REF!,有组织废气!$E$12:$G$12</definedName>
    <definedName name="_ali_follow_223388239">all</definedName>
    <definedName name="_ali_follow_223388246">all</definedName>
    <definedName name="_ali_change_223388239" localSheetId="6">Sheet1!$A$285:$F$285,Sheet1!$C$300:$C$306,Sheet1!$C$308:$C$313,Sheet1!$C$316:$C$328,Sheet1!$C$330:$C$338,Sheet1!$C$341:$C$342,Sheet1!$C$344:$C$348,Sheet1!$C$350,Sheet1!$B$290:$B$357,Sheet1!$A$286:$E$289,Sheet1!$A$290:$A$299,Sheet1!$C$290:$E$298,Sheet1!$E$299:$E$301,Sheet1!$F$286:$F$301,Sheet1!$F$315,有组织废气!$E$3:$H$8,有组织废气!#REF!,有组织废气!$E$16:$H$17,有组织废气!$E$13:$H$14,有组织废气!$E$10:$H$11,有组织废气!$E$9:$G$9,有组织废气!$J$1,有组织废气!#REF!,有组织废气!$E$12:$G$12,#REF!,#REF!,#REF!,#REF!,#REF!,#REF!</definedName>
    <definedName name="_ali_follow_223388239" localSheetId="6">all</definedName>
    <definedName name="_ali_follow_223388246" localSheetId="6">all</definedName>
  </definedNames>
  <calcPr calcId="144525"/>
</workbook>
</file>

<file path=xl/sharedStrings.xml><?xml version="1.0" encoding="utf-8"?>
<sst xmlns="http://schemas.openxmlformats.org/spreadsheetml/2006/main" count="1706" uniqueCount="927">
  <si>
    <t>项目编号</t>
  </si>
  <si>
    <t>项目名称</t>
  </si>
  <si>
    <t>审核日期</t>
  </si>
  <si>
    <t>报告一级审核人员</t>
  </si>
  <si>
    <t>编制人员</t>
  </si>
  <si>
    <t>责任人</t>
  </si>
  <si>
    <t>出现问题</t>
  </si>
  <si>
    <t>备注</t>
  </si>
  <si>
    <t>相关人员如果是记录上的错误，请及时到吴小梅助理处修改，报告上的错误我们要杜绝不在发生！！</t>
  </si>
  <si>
    <t>T2019345</t>
  </si>
  <si>
    <t>排水管理处检测</t>
  </si>
  <si>
    <t>2019.8.19</t>
  </si>
  <si>
    <t>李泽昊</t>
  </si>
  <si>
    <t>大气中氨的检出限错误、导致报出结果错误</t>
  </si>
  <si>
    <t>已修改、原始记录未修改</t>
  </si>
  <si>
    <t>无固体废物流转单</t>
  </si>
  <si>
    <t>T2019409</t>
  </si>
  <si>
    <t>噪声</t>
  </si>
  <si>
    <t>吴宇</t>
  </si>
  <si>
    <t>采样记录单字迹潦草，代表点位的三角符号位置标错，监测地点描述错误</t>
  </si>
  <si>
    <t>已修改</t>
  </si>
  <si>
    <t>原始记录标准溶液有效期统一填写成配置日期</t>
  </si>
  <si>
    <t>T2019366</t>
  </si>
  <si>
    <t>机场噪声</t>
  </si>
  <si>
    <t>2019.8.21</t>
  </si>
  <si>
    <t>唐学文</t>
  </si>
  <si>
    <t>蔡栋</t>
  </si>
  <si>
    <t>机场噪声原始记录时间顺序不符合逻辑</t>
  </si>
  <si>
    <t>水质在线比对原始记录修改</t>
  </si>
  <si>
    <t>T2019387</t>
  </si>
  <si>
    <t>废水</t>
  </si>
  <si>
    <t>2019.8.26</t>
  </si>
  <si>
    <t>张稳刚</t>
  </si>
  <si>
    <t>现场照片未上传</t>
  </si>
  <si>
    <t>T2019402</t>
  </si>
  <si>
    <t>乌尔禾区环境空气质量监测</t>
  </si>
  <si>
    <t>鲁的娟</t>
  </si>
  <si>
    <t>项目名称错误，将“乌尔禾区环境空气质量监测方案”中“方案”两字剔除</t>
  </si>
  <si>
    <t>已修改，只告知</t>
  </si>
  <si>
    <t>第一页中右上角错写成“第1页，共1页”，因改为“第1页，共2页”</t>
  </si>
  <si>
    <t>蔡栋、杨晓宇</t>
  </si>
  <si>
    <t>采样记录未填写完整</t>
  </si>
  <si>
    <t>采样方法选择错误，应为《环境空气质量手工监测技术规范》</t>
  </si>
  <si>
    <t>报告中硫化氢检出限错误，原始记录正确；应为0.005mg/m3</t>
  </si>
  <si>
    <t>T2019412</t>
  </si>
  <si>
    <t>阿勒泰油气回收检测</t>
  </si>
  <si>
    <t>2019.8.27</t>
  </si>
  <si>
    <t>第二页检测日期错误”7月22日“改为”8月22日“</t>
  </si>
  <si>
    <t>T2019408</t>
  </si>
  <si>
    <t>独山子医院医疗废水</t>
  </si>
  <si>
    <t>马志军</t>
  </si>
  <si>
    <t>第一页页码错写成“第1页，共2页”，因改为“第1页，共3页”</t>
  </si>
  <si>
    <t>方法标准国标号如果一行写不下，需另起一行</t>
  </si>
  <si>
    <t>杨晓宇、吴宇</t>
  </si>
  <si>
    <t>现场照片缺失</t>
  </si>
  <si>
    <t>崔亚平</t>
  </si>
  <si>
    <t>氨氮、化学需氧量、ph、色度采样500ml，但是领了1000ml样品</t>
  </si>
  <si>
    <t>报告中BOD5生化培养箱编号写错</t>
  </si>
  <si>
    <t>报告中挥发酚检出限错误，原始记录正确；应为0.01mg/L</t>
  </si>
  <si>
    <t>挥发酚原始记录结果判定未填写</t>
  </si>
  <si>
    <t>挥发酚原始记录加标量为样品量的10倍，加标回收结果无法满足质量控制要求</t>
  </si>
  <si>
    <t>只告知，下次注意</t>
  </si>
  <si>
    <t>报告中粪大肠菌群检测仪器未填写</t>
  </si>
  <si>
    <t>吴若愚</t>
  </si>
  <si>
    <t>阴离子表面活性剂分析方法填写不完整</t>
  </si>
  <si>
    <t>氰化物加标量为样品量的10倍，加标回收结果无法满足质量控制要求</t>
  </si>
  <si>
    <t>张永亮</t>
  </si>
  <si>
    <t>六价铬字迹潦草，加标量填写错误，加标倍数过大，标准溶液浓度写错</t>
  </si>
  <si>
    <t>报告检测结果单位未填写</t>
  </si>
  <si>
    <t>六价铬数据抄错</t>
  </si>
  <si>
    <t>T2019382</t>
  </si>
  <si>
    <t>三达送样</t>
  </si>
  <si>
    <t>2019.8.28</t>
  </si>
  <si>
    <t>游离氯和总氯方法选择错误，因选择低浓度</t>
  </si>
  <si>
    <t>T2019382-021报告其中一个报告编号错误</t>
  </si>
  <si>
    <t>T2019388</t>
  </si>
  <si>
    <t>克拉玛依市人民医院</t>
  </si>
  <si>
    <t>吴宇、崔亚平</t>
  </si>
  <si>
    <t>采样记录杠改不签字</t>
  </si>
  <si>
    <t>T2019376</t>
  </si>
  <si>
    <t>排水管理处例行检测</t>
  </si>
  <si>
    <t>杜豪、杨晓宇</t>
  </si>
  <si>
    <t>采样记录字迹潦草，杠改不签字</t>
  </si>
  <si>
    <t>悬浮物原始记录单T2019376-002恒重值错误</t>
  </si>
  <si>
    <t>全盐量原始记录单T2019376-002恒重值错误</t>
  </si>
  <si>
    <t>报告中石油类和动植物油位数保留不正确，原始记录正确</t>
  </si>
  <si>
    <t>报告中石油类和动植物油检出限错误</t>
  </si>
  <si>
    <t>报告中总氮分析结果填写错误</t>
  </si>
  <si>
    <t>阴离子表面活性剂分析方法填写不完整，加标量过大无意义</t>
  </si>
  <si>
    <t>报告点位错误，缺T2019376-003的相关原始记录</t>
  </si>
  <si>
    <t>六价铬加标量过大无意义；报出结果表述不正确</t>
  </si>
  <si>
    <t>样品流转单缺少六价铬的流转记录；T2019376-003缺少总氮的流转记录</t>
  </si>
  <si>
    <t>悬浮物原始记录单T2019376-003恒重值错误</t>
  </si>
  <si>
    <t>报告T2019376-003总氮结果填错</t>
  </si>
  <si>
    <t>报告T2019376-003六价铬结果填错</t>
  </si>
  <si>
    <t>T2019376-003汞分析缺少复核</t>
  </si>
  <si>
    <t>报告被测地址描述错误</t>
  </si>
  <si>
    <t>T2019415</t>
  </si>
  <si>
    <t>采样人缺一人，无接样人</t>
  </si>
  <si>
    <t>流转记录不完整</t>
  </si>
  <si>
    <t>报告采样人员、样品状态填写错误</t>
  </si>
  <si>
    <t>T2019423</t>
  </si>
  <si>
    <t>三达送样检测</t>
  </si>
  <si>
    <t>报告T2019423-001项目名称和样品类别描述错误</t>
  </si>
  <si>
    <t>游离氯加标量过大</t>
  </si>
  <si>
    <t>T2019416</t>
  </si>
  <si>
    <t>第二污水处理厂在线比对</t>
  </si>
  <si>
    <t>张稳刚、唐学文</t>
  </si>
  <si>
    <t>采样记录中应备注质控比对结果</t>
  </si>
  <si>
    <t>以上内容已告知技术部</t>
  </si>
  <si>
    <t>T2019433</t>
  </si>
  <si>
    <t>新春油田2号注汽站锅炉废气检测</t>
  </si>
  <si>
    <t>2019.8.30</t>
  </si>
  <si>
    <t>颗粒物的检测方法填错，应为固定污染源废气 低浓度颗粒物的测定 重量法 HJ836-2017</t>
  </si>
  <si>
    <t>颗粒物检出限未填写，缺少天平编号于型号</t>
  </si>
  <si>
    <t>二氧化硫分析国标号错误，应为HJ57-2017</t>
  </si>
  <si>
    <t>张稳刚、杜豪</t>
  </si>
  <si>
    <t>采样记录检测布点图没有注明采样孔距变径处的位置</t>
  </si>
  <si>
    <t>接样人未签字</t>
  </si>
  <si>
    <t>报告内容缺少签发日期</t>
  </si>
  <si>
    <t>报告标干流量单位改成Nm3/h</t>
  </si>
  <si>
    <t>T2019430</t>
  </si>
  <si>
    <t>重5井区齐古泉组油藏钻井试油工程</t>
  </si>
  <si>
    <t>报告中点位示意图错误，无“小拐镇”</t>
  </si>
  <si>
    <t>报告中点位坐标描述错误</t>
  </si>
  <si>
    <t>T2019421</t>
  </si>
  <si>
    <t>项目名称字体大小不对，应为4号字</t>
  </si>
  <si>
    <t>报告样品编号不正确</t>
  </si>
  <si>
    <t>T2019427</t>
  </si>
  <si>
    <t>克拉玛依二污除臭废气检测</t>
  </si>
  <si>
    <t>2019.9.2</t>
  </si>
  <si>
    <t>报告中氨国标号错误</t>
  </si>
  <si>
    <t>报告中氨检出限错误</t>
  </si>
  <si>
    <t>氨分析选择方法错误，应选择50ml吸收液</t>
  </si>
  <si>
    <t>无样品流转单</t>
  </si>
  <si>
    <t>T2019432</t>
  </si>
  <si>
    <t>新奥达无组织废气</t>
  </si>
  <si>
    <t>张稳刚、杨晓宇</t>
  </si>
  <si>
    <t>采样点描述过于简单</t>
  </si>
  <si>
    <t>检测报告，非甲烷总烃加上“以碳计”</t>
  </si>
  <si>
    <t>T2019428</t>
  </si>
  <si>
    <t>华隆生态环保</t>
  </si>
  <si>
    <t>报告含水率标准方法错误</t>
  </si>
  <si>
    <t>报告砷标准方法漏写一个字</t>
  </si>
  <si>
    <t>报告ph结果抄错</t>
  </si>
  <si>
    <t>报告项目名称和委托单位字号小一号，封皮应为四号，第一页为小四</t>
  </si>
  <si>
    <t>T2019431</t>
  </si>
  <si>
    <t>总氯加标回收计算错误，吸光度保留位数错误</t>
  </si>
  <si>
    <t>报告第一页编号错误</t>
  </si>
  <si>
    <t>T2019414</t>
  </si>
  <si>
    <t>春风油田2019年永1-1评价井项目</t>
  </si>
  <si>
    <t>报告项目名称和委托单位字号小一号，封皮应为四号宋体</t>
  </si>
  <si>
    <t>马志军、鲁的娟</t>
  </si>
  <si>
    <t>原始记录和报告ph测定国标名称错误，应为土壤 pH值的测定  电位法 HJ 962-2018</t>
  </si>
  <si>
    <t>T2019434</t>
  </si>
  <si>
    <t>和布克赛尔饮用水</t>
  </si>
  <si>
    <t>2019.9.4</t>
  </si>
  <si>
    <t>样品流转日期未填写</t>
  </si>
  <si>
    <t>分析记录分析日期是按天来写，还是可以写时间段</t>
  </si>
  <si>
    <t>项目缺少检测协议，未明确检测项目</t>
  </si>
  <si>
    <t>非甲烷总烃图谱打印问题</t>
  </si>
  <si>
    <t>报告中将浓度单位由“mg/l”改为“mg/L”,L大写</t>
  </si>
  <si>
    <t>张永亮、李泽昊</t>
  </si>
  <si>
    <t>浊度原始记录不完整</t>
  </si>
  <si>
    <t>硝酸盐氮加标计算错误</t>
  </si>
  <si>
    <t>T2019426</t>
  </si>
  <si>
    <t>粪大肠未签校核人</t>
  </si>
  <si>
    <t>报告中氰化物结果录入错误</t>
  </si>
  <si>
    <t>T2019429</t>
  </si>
  <si>
    <t>绿成乳业</t>
  </si>
  <si>
    <t>2019.9.5</t>
  </si>
  <si>
    <t>报告中颗粒物需要将天平的使用型号于编号加上</t>
  </si>
  <si>
    <t>张稳刚、吴宇</t>
  </si>
  <si>
    <t>报告中二氧化硫分析国标号错误，应为HJ57-2017</t>
  </si>
  <si>
    <t>报告中缺烟气黑的结果、标准等</t>
  </si>
  <si>
    <t>报告中颗粒物缺样品编号</t>
  </si>
  <si>
    <t>采样记录无接样人签字</t>
  </si>
  <si>
    <t>T2019437</t>
  </si>
  <si>
    <t>污泥含油率</t>
  </si>
  <si>
    <t>2019.9.6</t>
  </si>
  <si>
    <t>报告编号填写错误</t>
  </si>
  <si>
    <t>报告内容中所检结果见第2页，而不是第3页</t>
  </si>
  <si>
    <t>报告页码错误</t>
  </si>
  <si>
    <t>T2019413</t>
  </si>
  <si>
    <t>重油更新井</t>
  </si>
  <si>
    <t>报告内容委托单位字号错误</t>
  </si>
  <si>
    <t>杨晓宇、杜豪</t>
  </si>
  <si>
    <t>采样记录一个样品编号错误</t>
  </si>
  <si>
    <t>采样记录点位描述不清晰</t>
  </si>
  <si>
    <t>PM2.5检出限应为0.001mg/m3</t>
  </si>
  <si>
    <t>硫化氢杠改未签字</t>
  </si>
  <si>
    <t>吴小梅</t>
  </si>
  <si>
    <t>样品领用数量与采样单不符</t>
  </si>
  <si>
    <t>含水率校核人未签字</t>
  </si>
  <si>
    <t>噪声记录杠改未签字</t>
  </si>
  <si>
    <t>噪声报告单第18、20页样品数量不对</t>
  </si>
  <si>
    <t>T2019461</t>
  </si>
  <si>
    <t>红浅稠油油田生产污水达标项目</t>
  </si>
  <si>
    <t>2019.9.12</t>
  </si>
  <si>
    <t>报告如果是送样，则不需要填写被测地址</t>
  </si>
  <si>
    <t>第一页报告编号错误</t>
  </si>
  <si>
    <t>报告中缺签发日期</t>
  </si>
  <si>
    <t>崔亚平、马志军</t>
  </si>
  <si>
    <t>缺委托协议，样品流转无发放人签字</t>
  </si>
  <si>
    <t>T2019436</t>
  </si>
  <si>
    <t>新疆华生化工涂料有限公司</t>
  </si>
  <si>
    <t>采样记录采样因子与方案不一致</t>
  </si>
  <si>
    <t>T2019453</t>
  </si>
  <si>
    <t>爽湃净水厂</t>
  </si>
  <si>
    <t>2019.9.17</t>
  </si>
  <si>
    <t>报告石油类标准号错误</t>
  </si>
  <si>
    <t>样品流转单无发放人签字，流转记录不全缺T2019453-002的流转</t>
  </si>
  <si>
    <t>T219463</t>
  </si>
  <si>
    <t>6号站含油率检测</t>
  </si>
  <si>
    <t>含油率分析记录无校核人签字</t>
  </si>
  <si>
    <t>样品流转单、分析单样品数量和采样记录不对应</t>
  </si>
  <si>
    <t>T2019420</t>
  </si>
  <si>
    <t>八区二叠系风城组油藏</t>
  </si>
  <si>
    <t>吴宇、张稳刚</t>
  </si>
  <si>
    <t>土壤采样记录点位描述不明确</t>
  </si>
  <si>
    <t>质控报告非甲烷总烃国标号错误</t>
  </si>
  <si>
    <t>噪声原始记录日期填写错误</t>
  </si>
  <si>
    <t>T2019466</t>
  </si>
  <si>
    <t>达11</t>
  </si>
  <si>
    <t>报告检测人员填写错误</t>
  </si>
  <si>
    <t>T2019439</t>
  </si>
  <si>
    <t>杨心挺医院废水</t>
  </si>
  <si>
    <t>2019.9.18</t>
  </si>
  <si>
    <t>张永亮、崔亚平</t>
  </si>
  <si>
    <t>游离氯和总氯标准曲线、相当标准单位用错</t>
  </si>
  <si>
    <t>T2019422</t>
  </si>
  <si>
    <t>克80井区</t>
  </si>
  <si>
    <t>报告中噪声检测标准错误</t>
  </si>
  <si>
    <t>报告中无组织废气检测日期填写错误</t>
  </si>
  <si>
    <t>报告中土壤报告单为单位</t>
  </si>
  <si>
    <t>T2019419</t>
  </si>
  <si>
    <t>采油一厂2018年采油井更新补钻项目</t>
  </si>
  <si>
    <t>报告编号错误</t>
  </si>
  <si>
    <t>报告被侧地址错误</t>
  </si>
  <si>
    <t>报告无组织废气日期填写错误</t>
  </si>
  <si>
    <t>报告无组织废气5094A坐标错误</t>
  </si>
  <si>
    <t>土壤采样记录杠改不签字</t>
  </si>
  <si>
    <t>报告噪声点位坐标4#错误</t>
  </si>
  <si>
    <t>T2019474</t>
  </si>
  <si>
    <t>绿城废水监测</t>
  </si>
  <si>
    <t>2019.9.24</t>
  </si>
  <si>
    <t>报告悬浮物天平编号填写错误</t>
  </si>
  <si>
    <t>报告COD分析人员填写错误</t>
  </si>
  <si>
    <t>T2019441</t>
  </si>
  <si>
    <t>2019.9.26</t>
  </si>
  <si>
    <t>报告T2019441-002COD检测结果抄错</t>
  </si>
  <si>
    <t>张永亮、鲁的娟</t>
  </si>
  <si>
    <t>阴离子表面活性剂结果计算错误</t>
  </si>
  <si>
    <t>蔡栋、唐学文</t>
  </si>
  <si>
    <t>环境 空气采样记录点位描述不清晰</t>
  </si>
  <si>
    <t>报告环境空气点位描述错误</t>
  </si>
  <si>
    <t>T2019454</t>
  </si>
  <si>
    <t>锅炉在线监测比对</t>
  </si>
  <si>
    <t>2019.9.28</t>
  </si>
  <si>
    <t>比对记录样品编号填写不完整</t>
  </si>
  <si>
    <t>报告缺少签发时间</t>
  </si>
  <si>
    <t>采样记录第6页日期错误</t>
  </si>
  <si>
    <t>废气比对原始记录将湿度比对值加上</t>
  </si>
  <si>
    <t>T2019464</t>
  </si>
  <si>
    <t xml:space="preserve"> 	红浅稠油油田生产污水达标项目 </t>
  </si>
  <si>
    <t>样品流转单</t>
  </si>
  <si>
    <t>报告项目名称和任务单不一致</t>
  </si>
  <si>
    <t>报告石油类检出限错误</t>
  </si>
  <si>
    <t>报告T2019464-007氨氮检测结果填写错误</t>
  </si>
  <si>
    <t>鲁的娟、李泽昊</t>
  </si>
  <si>
    <t>石油类T2019464-004样品过期</t>
  </si>
  <si>
    <t>T2019460</t>
  </si>
  <si>
    <t>博达环境现状</t>
  </si>
  <si>
    <t>报告委托单位地址字号错误</t>
  </si>
  <si>
    <t>报告PH、含水率、含油率分析方法填写错误</t>
  </si>
  <si>
    <t>报告T2019460-004COD结果填错</t>
  </si>
  <si>
    <t>T2019480</t>
  </si>
  <si>
    <t>含油率缺校核</t>
  </si>
  <si>
    <t>T2019514</t>
  </si>
  <si>
    <t>重油公司污泥含油率检测</t>
  </si>
  <si>
    <t>2019.10.11</t>
  </si>
  <si>
    <t>报告内容编号、字号错误</t>
  </si>
  <si>
    <t>土壤含水率检测方法错误、天平编号错误</t>
  </si>
  <si>
    <t>采样记录无采样依据</t>
  </si>
  <si>
    <t>T2019506</t>
  </si>
  <si>
    <t>耶路高特环境监测项目</t>
  </si>
  <si>
    <t>水质采样记录缺少坐标信息</t>
  </si>
  <si>
    <t>水质样品编号不正确</t>
  </si>
  <si>
    <t>T2019531</t>
  </si>
  <si>
    <t>乌尔禾环境空气质量</t>
  </si>
  <si>
    <t>2019.10.17</t>
  </si>
  <si>
    <t>T2019540</t>
  </si>
  <si>
    <t>2019.10.29</t>
  </si>
  <si>
    <t>2#点第一天氮氧化物折算计算错误</t>
  </si>
  <si>
    <t>T2019572</t>
  </si>
  <si>
    <t>饮食业油烟</t>
  </si>
  <si>
    <t>2019.11.7</t>
  </si>
  <si>
    <t>T2019572-02报告编号、页码错误</t>
  </si>
  <si>
    <t>T2019615</t>
  </si>
  <si>
    <t>金鑫非甲烷总烃</t>
  </si>
  <si>
    <t>2019.11.13</t>
  </si>
  <si>
    <t>崔亚平、唐学文</t>
  </si>
  <si>
    <t>非甲烷总烃原始记录T2019615-005未计算平均值</t>
  </si>
  <si>
    <t>检测报告中T2019615-013-016结果录入错误</t>
  </si>
  <si>
    <t>检测报告中第3页送样日期错误</t>
  </si>
  <si>
    <t>T2019596</t>
  </si>
  <si>
    <t>重油公司危险废物暂存点</t>
  </si>
  <si>
    <t>2019.11.19</t>
  </si>
  <si>
    <t>吴若愚、张永亮</t>
  </si>
  <si>
    <t>含水率干燥条件和样品类型描述错误</t>
  </si>
  <si>
    <t>原始记录矿物油005编号错误</t>
  </si>
  <si>
    <t>报告中噪声仪编号错误</t>
  </si>
  <si>
    <t>T2019596-106非甲烷总烃数据抄错</t>
  </si>
  <si>
    <t>T2019599</t>
  </si>
  <si>
    <t>博达</t>
  </si>
  <si>
    <t>2019.11.21</t>
  </si>
  <si>
    <t>R2019599-06报告中地点坐标抄错</t>
  </si>
  <si>
    <t>R2019599-06报告中六价铬检测结果抄错</t>
  </si>
  <si>
    <t>T2019631</t>
  </si>
  <si>
    <t>报告中化学需氧量检测方法年代号错误</t>
  </si>
  <si>
    <t>报告中分析日期填写错误</t>
  </si>
  <si>
    <t>T2019621</t>
  </si>
  <si>
    <t>托里金矿</t>
  </si>
  <si>
    <t>2019.11.22</t>
  </si>
  <si>
    <t>报告中氟化物单位错误</t>
  </si>
  <si>
    <t>T2019621-01报告中样品编号错误</t>
  </si>
  <si>
    <t>T2019621-01报告中分析日期编号错误</t>
  </si>
  <si>
    <t>T2019638</t>
  </si>
  <si>
    <t>九公里加油站</t>
  </si>
  <si>
    <t>2019.11.27</t>
  </si>
  <si>
    <t>原始记录缺少校核人签字</t>
  </si>
  <si>
    <t>T2019637</t>
  </si>
  <si>
    <t>绿水源來样监测</t>
  </si>
  <si>
    <t>2019.11.29</t>
  </si>
  <si>
    <t>报告中含水率方法抄错</t>
  </si>
  <si>
    <t>检测报告含油率T2019637-002检测结果录入错误</t>
  </si>
  <si>
    <t>T2019605</t>
  </si>
  <si>
    <t>中心医院锅炉房</t>
  </si>
  <si>
    <t>2019.11.30</t>
  </si>
  <si>
    <t>1#炉氮氧化物第二次排放速率计算错误</t>
  </si>
  <si>
    <t>3#炉氮氧化物第三次折算浓度计算错误</t>
  </si>
  <si>
    <t>T2019644</t>
  </si>
  <si>
    <t>华隆锅炉房</t>
  </si>
  <si>
    <t>2019.12.2</t>
  </si>
  <si>
    <t>杜豪</t>
  </si>
  <si>
    <t>报告第三次烟温数据录入错误</t>
  </si>
  <si>
    <t>杜豪、唐学文</t>
  </si>
  <si>
    <t>记录第三次氮氧化物速率计算错误</t>
  </si>
  <si>
    <t>T2019635</t>
  </si>
  <si>
    <t>亚行噪声</t>
  </si>
  <si>
    <t>2019.12.4</t>
  </si>
  <si>
    <t>原始记录检测日期错误</t>
  </si>
  <si>
    <t>检测报告样品数量描述错误</t>
  </si>
  <si>
    <t>T2019650</t>
  </si>
  <si>
    <t>融汇锅炉废气监测</t>
  </si>
  <si>
    <t>2019.12.11</t>
  </si>
  <si>
    <t>颗粒物检测方法写错</t>
  </si>
  <si>
    <t>报告中T2019650-003流量填写错误</t>
  </si>
  <si>
    <t>分析记录缺少校核人签字和页码标识</t>
  </si>
  <si>
    <t>黑度原始记录缺少分析人员签字</t>
  </si>
  <si>
    <t>采样记录缺少接样人签字、接样日期</t>
  </si>
  <si>
    <t>报告污染源设备型号填写错误</t>
  </si>
  <si>
    <t>T2019671</t>
  </si>
  <si>
    <t>水质高锰酸盐指数的测定</t>
  </si>
  <si>
    <t>2019.12.12</t>
  </si>
  <si>
    <t>报告中第一页委托单位字号不对</t>
  </si>
  <si>
    <t>报告第二页检测单位错误</t>
  </si>
  <si>
    <t>T2019652</t>
  </si>
  <si>
    <t>石南</t>
  </si>
  <si>
    <t>报告第一页噪声仪编号错误</t>
  </si>
  <si>
    <t>T2019659</t>
  </si>
  <si>
    <t>重油公司危险废物临时贮存点</t>
  </si>
  <si>
    <t>2019.12.13</t>
  </si>
  <si>
    <t>报告总悬浮颗粒物国标号错误</t>
  </si>
  <si>
    <t>报告无组织废气2号点坐标错误</t>
  </si>
  <si>
    <t>矿物油流转单未签字</t>
  </si>
  <si>
    <t>采样记录接样人未签字</t>
  </si>
  <si>
    <t>T2019646</t>
  </si>
  <si>
    <t>石南联合站采出水处理系统</t>
  </si>
  <si>
    <t>采样记录未签字</t>
  </si>
  <si>
    <t>T2019634</t>
  </si>
  <si>
    <t>2018年集输站排污系统维修工程</t>
  </si>
  <si>
    <t>2019.12.16</t>
  </si>
  <si>
    <t>氮氧化物和二氧化硫分析记录检出限错误，应选择10ml吸收液的检出限</t>
  </si>
  <si>
    <t>二氧化硫和氮氧化物采样流量错误，二氧化硫为0.5L/min，氮氧化物为0.4L/min</t>
  </si>
  <si>
    <t>分析记录需要重新填写</t>
  </si>
  <si>
    <t>无组织废气采样记录单缺少样品编号和点位的关系描述</t>
  </si>
  <si>
    <t>土壤采样单缺少接样人签字X2</t>
  </si>
  <si>
    <t>非甲烷总烃分析记录页码错误</t>
  </si>
  <si>
    <t>T2019676</t>
  </si>
  <si>
    <t>诺特飞博燃烧设备监测</t>
  </si>
  <si>
    <t>报告二氧化硫国标号错误</t>
  </si>
  <si>
    <t>报告样品状态描述错误</t>
  </si>
  <si>
    <t>T2019667</t>
  </si>
  <si>
    <t>黑油山公司室内空气检测项目</t>
  </si>
  <si>
    <t>采样记录缺少接样人签字</t>
  </si>
  <si>
    <t>T2019669</t>
  </si>
  <si>
    <t>新科澳一分部厂区内燃气锅炉</t>
  </si>
  <si>
    <t>2019.12.17</t>
  </si>
  <si>
    <t>报告中颗粒物监测检测方法名称错误“汚染”</t>
  </si>
  <si>
    <t>原始记录分析人、校核人未签字</t>
  </si>
  <si>
    <t>T2019677</t>
  </si>
  <si>
    <t>新疆新捷燃气乌尔禾母站锅炉监测</t>
  </si>
  <si>
    <t>报告中缺少含氧量分析方法</t>
  </si>
  <si>
    <t>报告中分析仪器编号错误</t>
  </si>
  <si>
    <t>报告中样品状态错误，没有采颗粒物哪来的采样嘴？</t>
  </si>
  <si>
    <t>T2019673</t>
  </si>
  <si>
    <t>托里县汞及其化合物监测</t>
  </si>
  <si>
    <t>2019.12.19</t>
  </si>
  <si>
    <t>采样记录写的很全，但是还缺少烟气含湿量的监测数据</t>
  </si>
  <si>
    <t>T2019663</t>
  </si>
  <si>
    <t xml:space="preserve">石南31井区清水河组油藏
2017年开发建设工程
</t>
  </si>
  <si>
    <t>2019.12.25</t>
  </si>
  <si>
    <t>采样记录缺少编号对应的点位描述</t>
  </si>
  <si>
    <t>报告中权少含水率的仪器设备</t>
  </si>
  <si>
    <t>报告中T2019663-201-203镉的检测结果填写错误</t>
  </si>
  <si>
    <t>T2019664</t>
  </si>
  <si>
    <t>石南4井区头屯河组油藏</t>
  </si>
  <si>
    <t>2019.12.26</t>
  </si>
  <si>
    <t>报告中样品类别缺少废水；检测项目多了一个硫化氢和含油率</t>
  </si>
  <si>
    <t>报告中非甲烷总烃样品状态描述错误</t>
  </si>
  <si>
    <t>废气、噪声采样记录中监测点位图画错</t>
  </si>
  <si>
    <t>噪声记录点位名称与方案不一致</t>
  </si>
  <si>
    <t>T2019697</t>
  </si>
  <si>
    <t>绿水源环保有限公司来样检测</t>
  </si>
  <si>
    <t>2019.12.30</t>
  </si>
  <si>
    <t>报告T2019697-002含水率录入错误</t>
  </si>
  <si>
    <t>含油率原始记录T2019697-002含水率引用错误</t>
  </si>
  <si>
    <t>T2019686</t>
  </si>
  <si>
    <t xml:space="preserve">新疆鸿升现代农牧业科技发展有限公司送样检测 </t>
  </si>
  <si>
    <t>样品流转单中样品状态和送样信息不符</t>
  </si>
  <si>
    <t>报告中样品状态和送样信息不符</t>
  </si>
  <si>
    <t>报告中检测日期错误</t>
  </si>
  <si>
    <t>T2019694-002</t>
  </si>
  <si>
    <t>中国石油新疆油田分公司红山嘴油田89井区
二叠系乌尔禾组石碳系油藏评价井项目（第二批）</t>
  </si>
  <si>
    <t>2020.1.7</t>
  </si>
  <si>
    <t>报告单页的编号填写错误、报告编号字体错误</t>
  </si>
  <si>
    <t>报告中采样日期错误</t>
  </si>
  <si>
    <t>报告非甲烷总烃样品编号错误</t>
  </si>
  <si>
    <t>报告所有非甲烷总烃结果录入错误</t>
  </si>
  <si>
    <t>报告土壤样品状态描述错误</t>
  </si>
  <si>
    <t>点位示意图错误</t>
  </si>
  <si>
    <t>报告噪声仪器设备和声校准器填写错误</t>
  </si>
  <si>
    <t>报告矿物油质控记录填写错误</t>
  </si>
  <si>
    <t>张稳刚、崔亚平</t>
  </si>
  <si>
    <t>分析记录中非甲烷原始记录采样日期未填写</t>
  </si>
  <si>
    <t>T2019694-001</t>
  </si>
  <si>
    <t>夏子街油田夏67井区块三叠系百口泉组油藏评价井项目</t>
  </si>
  <si>
    <t>报告土壤点位坐标抄错</t>
  </si>
  <si>
    <t>报告土壤采样人员填写错误</t>
  </si>
  <si>
    <t>报告中噪声检测结果缺少一个点位的所有结果</t>
  </si>
  <si>
    <t>T2019694-003</t>
  </si>
  <si>
    <t xml:space="preserve"> 中国石油新疆油田分公司百口泉油田稀油油藏 </t>
  </si>
  <si>
    <t>报告土壤采样日期填写错误</t>
  </si>
  <si>
    <t>分析记录中非甲烷检测结果低于检出限的未用ND表示</t>
  </si>
  <si>
    <t>T2020032</t>
  </si>
  <si>
    <t>日濠水都锅炉废气检测项目</t>
  </si>
  <si>
    <t>2020.1.13</t>
  </si>
  <si>
    <t>报告中含氧量抄错</t>
  </si>
  <si>
    <t>T20200001</t>
  </si>
  <si>
    <t>排水处污水检测</t>
  </si>
  <si>
    <t>2020.1.20</t>
  </si>
  <si>
    <t>氰化物方法录入错误</t>
  </si>
  <si>
    <t>九公里采样单日期杠改未签字</t>
  </si>
  <si>
    <t>九公里采样单接样日期杠改未签字</t>
  </si>
  <si>
    <t>BOD5样品流转单未签字</t>
  </si>
  <si>
    <t>色度方法选择错误</t>
  </si>
  <si>
    <t>阴离子表面活性剂校核人未签字</t>
  </si>
  <si>
    <t>报告九公里处理厂污泥样品状态写错</t>
  </si>
  <si>
    <t>T2020033</t>
  </si>
  <si>
    <t>百口泉供热锅炉验收监测</t>
  </si>
  <si>
    <t>流转记录样品数量错误</t>
  </si>
  <si>
    <t>报告颗粒物采样仪器错误</t>
  </si>
  <si>
    <t>报告2#炉第二天氮氧化物第三次值录入错误</t>
  </si>
  <si>
    <t>报告噪声Z3第二天修约错误</t>
  </si>
  <si>
    <t>T2020028-01</t>
  </si>
  <si>
    <t>飞机场锅炉检测（1月）</t>
  </si>
  <si>
    <t>2020.1.21</t>
  </si>
  <si>
    <t>报告缺少烟气黑度检测结果，</t>
  </si>
  <si>
    <t>T2020030-01</t>
  </si>
  <si>
    <t>西北锅炉房验收</t>
  </si>
  <si>
    <t>报告中含氧量方法使用仪器录入错误</t>
  </si>
  <si>
    <t>T2020030-02</t>
  </si>
  <si>
    <t>2020.3.13</t>
  </si>
  <si>
    <t>报告第三页第8次CEMS值录入错误</t>
  </si>
  <si>
    <t>报告第三页第1次手工值录入错误</t>
  </si>
  <si>
    <t>原始记录中1#炉氮氧化物相对误差计算错误</t>
  </si>
  <si>
    <t>报告第8页第2次CEMS结果录入错误</t>
  </si>
  <si>
    <t>二号炉原书记录中氮氧化物低浓度示值误差计算错误</t>
  </si>
  <si>
    <t>二号炉原始记录零点漂移计算错误</t>
  </si>
  <si>
    <t>3号炉原始记录中二氧化硫的零点漂移计算错误</t>
  </si>
  <si>
    <t>报告中3#炉氮氧化物手工平均值计算错误</t>
  </si>
  <si>
    <t>T2020025-003</t>
  </si>
  <si>
    <t>风云保健站</t>
  </si>
  <si>
    <t>2020.3.18</t>
  </si>
  <si>
    <t>报告中天平的仪器编号填写错误</t>
  </si>
  <si>
    <t>T2020028-003</t>
  </si>
  <si>
    <t>机场废气检测</t>
  </si>
  <si>
    <t>2020.3.24</t>
  </si>
  <si>
    <t>报告中设备编号填写错误</t>
  </si>
  <si>
    <t>报告中样品状态填写错误</t>
  </si>
  <si>
    <t>报告中采样、检测日期填写错误</t>
  </si>
  <si>
    <t>T2020044-003</t>
  </si>
  <si>
    <t>华隆锅炉监测</t>
  </si>
  <si>
    <t>2020.3.25</t>
  </si>
  <si>
    <t>原始记录氮氧化物折算计算错误</t>
  </si>
  <si>
    <t>T2020077</t>
  </si>
  <si>
    <t>重油公司水质在线比对</t>
  </si>
  <si>
    <t>2020.4.9</t>
  </si>
  <si>
    <t>T2020077-002的氨氮在线值录入错误</t>
  </si>
  <si>
    <t>T2020097</t>
  </si>
  <si>
    <t>2020年4月份监测计划分析</t>
  </si>
  <si>
    <t>2020.4.17</t>
  </si>
  <si>
    <t>报告第一页五日生化需氧量检测设备错误</t>
  </si>
  <si>
    <t>报告中镉的检出限录入错误</t>
  </si>
  <si>
    <t>报告中铅的检出限录入错误</t>
  </si>
  <si>
    <t>报告中氟化物的结果录入错误</t>
  </si>
  <si>
    <t>T2020111</t>
  </si>
  <si>
    <t>胜利油田锅炉废气废气检测</t>
  </si>
  <si>
    <t>2020.5.7</t>
  </si>
  <si>
    <t>二氧化硫国标录入错误</t>
  </si>
  <si>
    <t>无签发日期</t>
  </si>
  <si>
    <t>有两处平均值计算错误</t>
  </si>
  <si>
    <t>管理系统一审发现无现场照片</t>
  </si>
  <si>
    <t>T2020105-001</t>
  </si>
  <si>
    <t>禹城热力</t>
  </si>
  <si>
    <t>2020.5.12</t>
  </si>
  <si>
    <t>SO2折算值报出结果有误</t>
  </si>
  <si>
    <t>汞折算报出结果有误</t>
  </si>
  <si>
    <t>有组织氨与汞排放速率数据结果来源与计算无出处！</t>
  </si>
  <si>
    <t>T2020105-002</t>
  </si>
  <si>
    <t>结果录入错误</t>
  </si>
  <si>
    <t>数据计算错误1处</t>
  </si>
  <si>
    <t>T2020101</t>
  </si>
  <si>
    <t>重32井区齐古组油藏</t>
  </si>
  <si>
    <t>2020.5.15</t>
  </si>
  <si>
    <t>采样记录缺少样品编号和点位的对应关系</t>
  </si>
  <si>
    <t>硫化氢分析记录缺少人员校核</t>
  </si>
  <si>
    <t>非甲烷总烃原始记录杠改不签字</t>
  </si>
  <si>
    <t>噪声原始记录噪声点位坐标错误</t>
  </si>
  <si>
    <t>土壤PH的方法不完整（已改）</t>
  </si>
  <si>
    <t>六价铬是分包项目，在样品流转单出现</t>
  </si>
  <si>
    <t>T2020124</t>
  </si>
  <si>
    <t>独山子医院</t>
  </si>
  <si>
    <t>2020.5.27</t>
  </si>
  <si>
    <t>吴志伟</t>
  </si>
  <si>
    <t>陶盼捷</t>
  </si>
  <si>
    <t>唐学文、张稳刚</t>
  </si>
  <si>
    <t>阴离子表面活性剂用“P"材质的容器采样，不符合国标及技术规范要求</t>
  </si>
  <si>
    <t>T2020013-11</t>
  </si>
  <si>
    <t>人民医院</t>
  </si>
  <si>
    <t>2020.5.25</t>
  </si>
  <si>
    <t>粪大肠菌群超标、已反馈市场部</t>
  </si>
  <si>
    <t>T2020021-02</t>
  </si>
  <si>
    <t>友好医院</t>
  </si>
  <si>
    <t>ph、粪大肠菌群、悬浮物方法编号错误（已改）</t>
  </si>
  <si>
    <t>T2020096-02</t>
  </si>
  <si>
    <t>昆仑路卫生服务中心</t>
  </si>
  <si>
    <t>粪大肠菌群方法错误（已改）</t>
  </si>
  <si>
    <t>T2020016-04</t>
  </si>
  <si>
    <t>中心血站</t>
  </si>
  <si>
    <t>粪大肠样品编号不完整</t>
  </si>
  <si>
    <t>报告中样品编号错误（已改）</t>
  </si>
  <si>
    <t>T2020019-02</t>
  </si>
  <si>
    <t>汉唐康复医院</t>
  </si>
  <si>
    <t>粪大肠方法错误、超标、已反馈市场部</t>
  </si>
  <si>
    <t>T2020021-03</t>
  </si>
  <si>
    <t>ph、悬浮物检测人员录入错误（已改）</t>
  </si>
  <si>
    <t>ph、悬浮物、粪大肠菌群的标准方法编号错误（已改）</t>
  </si>
  <si>
    <t>粪大肠超标、已反馈市场部</t>
  </si>
  <si>
    <t>T2020025-04</t>
  </si>
  <si>
    <t>T2020025-03</t>
  </si>
  <si>
    <t>粪大肠方法错误、超标，已反馈市场部</t>
  </si>
  <si>
    <t>T2020015-21</t>
  </si>
  <si>
    <t>中心医院</t>
  </si>
  <si>
    <t>周期性全项不采粪大肠菌群无标注已反市场部</t>
  </si>
  <si>
    <t>第一次</t>
  </si>
  <si>
    <t>第二次</t>
  </si>
  <si>
    <t>第三次</t>
  </si>
  <si>
    <t>平均值</t>
  </si>
  <si>
    <t>基准含氧量</t>
  </si>
  <si>
    <t>四次</t>
  </si>
  <si>
    <t>均值</t>
  </si>
  <si>
    <t>排气含氧量（%）</t>
  </si>
  <si>
    <t>排气温度(℃)</t>
  </si>
  <si>
    <t>排气含湿量（%）</t>
  </si>
  <si>
    <t>排气流速（m/s）</t>
  </si>
  <si>
    <r>
      <rPr>
        <sz val="14"/>
        <color theme="1"/>
        <rFont val="宋体"/>
        <charset val="134"/>
      </rPr>
      <t>排气标干流量(m</t>
    </r>
    <r>
      <rPr>
        <vertAlign val="superscript"/>
        <sz val="14"/>
        <color theme="1"/>
        <rFont val="宋体"/>
        <charset val="134"/>
      </rPr>
      <t>3</t>
    </r>
    <r>
      <rPr>
        <sz val="14"/>
        <color theme="1"/>
        <rFont val="宋体"/>
        <charset val="134"/>
      </rPr>
      <t>/h)</t>
    </r>
  </si>
  <si>
    <t>四次排放速率</t>
  </si>
  <si>
    <t>颗粒物标干采样体积(L)</t>
  </si>
  <si>
    <r>
      <rPr>
        <sz val="14"/>
        <color theme="1"/>
        <rFont val="宋体"/>
        <charset val="134"/>
      </rPr>
      <t>颗粒物排放浓度（mg/m</t>
    </r>
    <r>
      <rPr>
        <vertAlign val="superscript"/>
        <sz val="14"/>
        <color theme="1"/>
        <rFont val="宋体"/>
        <charset val="134"/>
      </rPr>
      <t>3</t>
    </r>
    <r>
      <rPr>
        <sz val="14"/>
        <color theme="1"/>
        <rFont val="宋体"/>
        <charset val="134"/>
      </rPr>
      <t>）</t>
    </r>
  </si>
  <si>
    <t>实测值</t>
  </si>
  <si>
    <t>折算值</t>
  </si>
  <si>
    <t>颗粒物排放速率(kg/h)</t>
  </si>
  <si>
    <t>过量空气系数</t>
  </si>
  <si>
    <t>-</t>
  </si>
  <si>
    <t>二氧化硫排放浓度（mg/m3）</t>
  </si>
  <si>
    <t>ND</t>
  </si>
  <si>
    <t>二氧化硫排放速率（kg/h）</t>
  </si>
  <si>
    <r>
      <rPr>
        <sz val="14"/>
        <color theme="1"/>
        <rFont val="宋体"/>
        <charset val="134"/>
      </rPr>
      <t>氮氧化物排放浓度（mg/m</t>
    </r>
    <r>
      <rPr>
        <vertAlign val="superscript"/>
        <sz val="14"/>
        <color theme="1"/>
        <rFont val="宋体"/>
        <charset val="134"/>
      </rPr>
      <t>3</t>
    </r>
    <r>
      <rPr>
        <sz val="14"/>
        <color theme="1"/>
        <rFont val="宋体"/>
        <charset val="134"/>
      </rPr>
      <t>）</t>
    </r>
  </si>
  <si>
    <t>标准浓度</t>
  </si>
  <si>
    <t>采样前</t>
  </si>
  <si>
    <t>采样后</t>
  </si>
  <si>
    <t>氮氧化物排放速率(kg/h)</t>
  </si>
  <si>
    <r>
      <rPr>
        <b/>
        <sz val="10"/>
        <color rgb="FF000000"/>
        <rFont val="宋体"/>
        <charset val="134"/>
      </rPr>
      <t>相对准确度</t>
    </r>
    <r>
      <rPr>
        <b/>
        <sz val="10"/>
        <color rgb="FF000000"/>
        <rFont val="Times New Roman"/>
        <charset val="134"/>
      </rPr>
      <t xml:space="preserve"> 5</t>
    </r>
    <r>
      <rPr>
        <b/>
        <sz val="10"/>
        <color rgb="FF000000"/>
        <rFont val="宋体"/>
        <charset val="134"/>
      </rPr>
      <t>组</t>
    </r>
  </si>
  <si>
    <r>
      <rPr>
        <sz val="10"/>
        <color indexed="8"/>
        <rFont val="宋体"/>
        <charset val="134"/>
      </rPr>
      <t>含氧量</t>
    </r>
    <r>
      <rPr>
        <sz val="10"/>
        <color indexed="8"/>
        <rFont val="Times New Roman"/>
        <charset val="134"/>
      </rPr>
      <t xml:space="preserve"> O2</t>
    </r>
  </si>
  <si>
    <r>
      <rPr>
        <sz val="9"/>
        <rFont val="宋体"/>
        <charset val="134"/>
      </rPr>
      <t>非甲烷总烃</t>
    </r>
    <r>
      <rPr>
        <sz val="9"/>
        <rFont val="Times New Roman"/>
        <charset val="134"/>
      </rPr>
      <t xml:space="preserve"> NMHC(mg/m3)</t>
    </r>
  </si>
  <si>
    <r>
      <rPr>
        <b/>
        <sz val="10"/>
        <color rgb="FF000000"/>
        <rFont val="宋体"/>
        <charset val="134"/>
      </rPr>
      <t>相对准确度</t>
    </r>
    <r>
      <rPr>
        <b/>
        <sz val="10"/>
        <color rgb="FF000000"/>
        <rFont val="Times New Roman"/>
        <charset val="134"/>
      </rPr>
      <t xml:space="preserve"> 6</t>
    </r>
    <r>
      <rPr>
        <b/>
        <sz val="10"/>
        <color rgb="FF000000"/>
        <rFont val="宋体"/>
        <charset val="134"/>
      </rPr>
      <t>组</t>
    </r>
  </si>
  <si>
    <r>
      <rPr>
        <sz val="10"/>
        <rFont val="宋体"/>
        <charset val="134"/>
      </rPr>
      <t>非甲烷总烃</t>
    </r>
    <r>
      <rPr>
        <sz val="10"/>
        <rFont val="Times New Roman"/>
        <charset val="134"/>
      </rPr>
      <t xml:space="preserve"> NMHC</t>
    </r>
  </si>
  <si>
    <r>
      <rPr>
        <b/>
        <sz val="10"/>
        <color rgb="FF000000"/>
        <rFont val="宋体"/>
        <charset val="134"/>
      </rPr>
      <t>相对准确度</t>
    </r>
    <r>
      <rPr>
        <b/>
        <sz val="10"/>
        <color rgb="FF000000"/>
        <rFont val="Times New Roman"/>
        <charset val="134"/>
      </rPr>
      <t xml:space="preserve"> 9</t>
    </r>
    <r>
      <rPr>
        <b/>
        <sz val="10"/>
        <color rgb="FF000000"/>
        <rFont val="宋体"/>
        <charset val="134"/>
      </rPr>
      <t>组</t>
    </r>
  </si>
  <si>
    <r>
      <rPr>
        <sz val="10"/>
        <color rgb="FF000000"/>
        <rFont val="宋体"/>
        <charset val="0"/>
      </rPr>
      <t>序号</t>
    </r>
  </si>
  <si>
    <r>
      <rPr>
        <sz val="10"/>
        <color indexed="8"/>
        <rFont val="宋体"/>
        <charset val="134"/>
      </rPr>
      <t>参比方法</t>
    </r>
  </si>
  <si>
    <t>CEMS</t>
  </si>
  <si>
    <r>
      <rPr>
        <sz val="10"/>
        <color indexed="8"/>
        <rFont val="宋体"/>
        <charset val="134"/>
      </rPr>
      <t>对差</t>
    </r>
  </si>
  <si>
    <r>
      <rPr>
        <sz val="10"/>
        <color indexed="8"/>
        <rFont val="宋体"/>
        <charset val="134"/>
      </rPr>
      <t>实验室</t>
    </r>
  </si>
  <si>
    <r>
      <rPr>
        <sz val="10"/>
        <color indexed="8"/>
        <rFont val="宋体"/>
        <charset val="134"/>
      </rPr>
      <t>平均值</t>
    </r>
    <r>
      <rPr>
        <sz val="10"/>
        <color indexed="8"/>
        <rFont val="Times New Roman"/>
        <charset val="134"/>
      </rPr>
      <t xml:space="preserve"> RM</t>
    </r>
  </si>
  <si>
    <r>
      <rPr>
        <sz val="10"/>
        <color rgb="FF000000"/>
        <rFont val="宋体"/>
        <charset val="134"/>
      </rPr>
      <t>绝对误差（</t>
    </r>
    <r>
      <rPr>
        <sz val="10"/>
        <color rgb="FF000000"/>
        <rFont val="Times New Roman"/>
        <charset val="134"/>
      </rPr>
      <t>%</t>
    </r>
    <r>
      <rPr>
        <sz val="10"/>
        <color rgb="FF000000"/>
        <rFont val="宋体"/>
        <charset val="134"/>
      </rPr>
      <t>）</t>
    </r>
  </si>
  <si>
    <r>
      <rPr>
        <sz val="6"/>
        <color rgb="FF000000"/>
        <rFont val="宋体"/>
        <charset val="134"/>
      </rPr>
      <t>数据对差的标准偏差</t>
    </r>
    <r>
      <rPr>
        <sz val="6"/>
        <color rgb="FF000000"/>
        <rFont val="Times New Roman"/>
        <charset val="134"/>
      </rPr>
      <t>Sd</t>
    </r>
  </si>
  <si>
    <r>
      <rPr>
        <sz val="8"/>
        <color rgb="FF000000"/>
        <rFont val="宋体"/>
        <charset val="134"/>
      </rPr>
      <t>置信系数</t>
    </r>
    <r>
      <rPr>
        <i/>
        <sz val="8"/>
        <color rgb="FF000000"/>
        <rFont val="Times New Roman"/>
        <charset val="134"/>
      </rPr>
      <t xml:space="preserve"> cc</t>
    </r>
    <r>
      <rPr>
        <sz val="8"/>
        <color rgb="FF000000"/>
        <rFont val="宋体"/>
        <charset val="134"/>
      </rPr>
      <t>(</t>
    </r>
    <r>
      <rPr>
        <i/>
        <sz val="8"/>
        <color rgb="FF000000"/>
        <rFont val="宋体"/>
        <charset val="134"/>
      </rPr>
      <t>t</t>
    </r>
    <r>
      <rPr>
        <sz val="8"/>
        <color rgb="FF000000"/>
        <rFont val="宋体"/>
        <charset val="134"/>
      </rPr>
      <t>=</t>
    </r>
    <r>
      <rPr>
        <sz val="8"/>
        <color rgb="FF000000"/>
        <rFont val="Times New Roman"/>
        <charset val="134"/>
      </rPr>
      <t>2.776</t>
    </r>
    <r>
      <rPr>
        <sz val="8"/>
        <color rgb="FF000000"/>
        <rFont val="宋体"/>
        <charset val="134"/>
      </rPr>
      <t>)</t>
    </r>
  </si>
  <si>
    <r>
      <rPr>
        <sz val="9"/>
        <color rgb="FF000000"/>
        <rFont val="宋体"/>
        <charset val="134"/>
      </rPr>
      <t>相对准确度</t>
    </r>
    <r>
      <rPr>
        <sz val="9"/>
        <color rgb="FF000000"/>
        <rFont val="Times New Roman"/>
        <charset val="134"/>
      </rPr>
      <t xml:space="preserve"> RA(%)</t>
    </r>
  </si>
  <si>
    <r>
      <rPr>
        <sz val="8"/>
        <color rgb="FF000000"/>
        <rFont val="宋体"/>
        <charset val="134"/>
      </rPr>
      <t>置信系数</t>
    </r>
    <r>
      <rPr>
        <i/>
        <sz val="8"/>
        <color rgb="FF000000"/>
        <rFont val="Times New Roman"/>
        <charset val="134"/>
      </rPr>
      <t xml:space="preserve"> cc</t>
    </r>
    <r>
      <rPr>
        <sz val="8"/>
        <color rgb="FF000000"/>
        <rFont val="宋体"/>
        <charset val="134"/>
      </rPr>
      <t>(</t>
    </r>
    <r>
      <rPr>
        <i/>
        <sz val="8"/>
        <color rgb="FF000000"/>
        <rFont val="宋体"/>
        <charset val="134"/>
      </rPr>
      <t>t</t>
    </r>
    <r>
      <rPr>
        <sz val="8"/>
        <color rgb="FF000000"/>
        <rFont val="宋体"/>
        <charset val="134"/>
      </rPr>
      <t>=</t>
    </r>
    <r>
      <rPr>
        <sz val="8"/>
        <color rgb="FF000000"/>
        <rFont val="Times New Roman"/>
        <charset val="134"/>
      </rPr>
      <t>2.571</t>
    </r>
    <r>
      <rPr>
        <sz val="8"/>
        <color rgb="FF000000"/>
        <rFont val="宋体"/>
        <charset val="134"/>
      </rPr>
      <t>)</t>
    </r>
  </si>
  <si>
    <r>
      <rPr>
        <sz val="10"/>
        <color indexed="8"/>
        <rFont val="宋体"/>
        <charset val="134"/>
      </rPr>
      <t>平均值</t>
    </r>
  </si>
  <si>
    <r>
      <rPr>
        <sz val="10"/>
        <color indexed="8"/>
        <rFont val="宋体"/>
        <charset val="134"/>
      </rPr>
      <t>绝对误差</t>
    </r>
  </si>
  <si>
    <r>
      <rPr>
        <sz val="6"/>
        <color rgb="FF000000"/>
        <rFont val="宋体"/>
        <charset val="134"/>
      </rPr>
      <t>数据对差的标准偏差</t>
    </r>
  </si>
  <si>
    <t>O2(%)</t>
  </si>
  <si>
    <r>
      <rPr>
        <b/>
        <sz val="10"/>
        <rFont val="宋体"/>
        <charset val="134"/>
      </rPr>
      <t>＞</t>
    </r>
    <r>
      <rPr>
        <b/>
        <sz val="10"/>
        <rFont val="Times New Roman"/>
        <charset val="134"/>
      </rPr>
      <t>5.0</t>
    </r>
  </si>
  <si>
    <t>≤15%</t>
  </si>
  <si>
    <r>
      <rPr>
        <sz val="6"/>
        <color rgb="FF000000"/>
        <rFont val="宋体"/>
        <charset val="134"/>
      </rPr>
      <t>置信系数</t>
    </r>
    <r>
      <rPr>
        <i/>
        <sz val="6"/>
        <color rgb="FF000000"/>
        <rFont val="Times New Roman"/>
        <charset val="134"/>
      </rPr>
      <t xml:space="preserve"> cc</t>
    </r>
    <r>
      <rPr>
        <sz val="6"/>
        <color rgb="FF000000"/>
        <rFont val="宋体"/>
        <charset val="134"/>
      </rPr>
      <t>(</t>
    </r>
    <r>
      <rPr>
        <i/>
        <sz val="6"/>
        <color rgb="FF000000"/>
        <rFont val="宋体"/>
        <charset val="134"/>
      </rPr>
      <t>t</t>
    </r>
    <r>
      <rPr>
        <sz val="6"/>
        <color rgb="FF000000"/>
        <rFont val="宋体"/>
        <charset val="134"/>
      </rPr>
      <t>=</t>
    </r>
    <r>
      <rPr>
        <sz val="6"/>
        <color rgb="FF000000"/>
        <rFont val="Times New Roman"/>
        <charset val="134"/>
      </rPr>
      <t>2.306</t>
    </r>
    <r>
      <rPr>
        <sz val="6"/>
        <color rgb="FF000000"/>
        <rFont val="宋体"/>
        <charset val="134"/>
      </rPr>
      <t>)</t>
    </r>
  </si>
  <si>
    <t>≤5.0</t>
  </si>
  <si>
    <t>≤±1.0%</t>
  </si>
  <si>
    <r>
      <rPr>
        <sz val="8"/>
        <color rgb="FF000000"/>
        <rFont val="宋体"/>
        <charset val="134"/>
      </rPr>
      <t>相对准确度</t>
    </r>
    <r>
      <rPr>
        <sz val="8"/>
        <color rgb="FF000000"/>
        <rFont val="Times New Roman"/>
        <charset val="134"/>
      </rPr>
      <t xml:space="preserve"> RA(%)</t>
    </r>
  </si>
  <si>
    <r>
      <rPr>
        <b/>
        <sz val="14"/>
        <color rgb="FF595959"/>
        <rFont val="宋体"/>
        <charset val="134"/>
      </rPr>
      <t>标准浓度</t>
    </r>
  </si>
  <si>
    <r>
      <rPr>
        <sz val="14"/>
        <color rgb="FF595959"/>
        <rFont val="宋体"/>
        <charset val="134"/>
      </rPr>
      <t>采样前</t>
    </r>
  </si>
  <si>
    <r>
      <rPr>
        <sz val="14"/>
        <color rgb="FF595959"/>
        <rFont val="宋体"/>
        <charset val="134"/>
      </rPr>
      <t>采样后</t>
    </r>
  </si>
  <si>
    <r>
      <rPr>
        <sz val="10"/>
        <rFont val="Times New Roman"/>
        <charset val="134"/>
      </rPr>
      <t xml:space="preserve">HJ 75-2017   </t>
    </r>
    <r>
      <rPr>
        <sz val="10"/>
        <rFont val="宋体"/>
        <charset val="134"/>
      </rPr>
      <t>计算置信系数用</t>
    </r>
    <r>
      <rPr>
        <sz val="10"/>
        <rFont val="Times New Roman"/>
        <charset val="134"/>
      </rPr>
      <t>t</t>
    </r>
    <r>
      <rPr>
        <sz val="10"/>
        <rFont val="宋体"/>
        <charset val="134"/>
      </rPr>
      <t>值表（</t>
    </r>
    <r>
      <rPr>
        <sz val="10"/>
        <rFont val="Times New Roman"/>
        <charset val="134"/>
      </rPr>
      <t>95%</t>
    </r>
    <r>
      <rPr>
        <sz val="10"/>
        <rFont val="宋体"/>
        <charset val="134"/>
      </rPr>
      <t>置信水平）</t>
    </r>
  </si>
  <si>
    <r>
      <rPr>
        <sz val="10"/>
        <rFont val="宋体"/>
        <charset val="134"/>
      </rPr>
      <t>次数</t>
    </r>
    <r>
      <rPr>
        <sz val="10"/>
        <rFont val="Times New Roman"/>
        <charset val="134"/>
      </rPr>
      <t xml:space="preserve"> n</t>
    </r>
  </si>
  <si>
    <t>t</t>
  </si>
  <si>
    <r>
      <rPr>
        <b/>
        <sz val="8"/>
        <color rgb="FF000000"/>
        <rFont val="宋体"/>
        <charset val="134"/>
      </rPr>
      <t>相对准确度</t>
    </r>
    <r>
      <rPr>
        <b/>
        <sz val="8"/>
        <color rgb="FF000000"/>
        <rFont val="Times New Roman"/>
        <charset val="134"/>
      </rPr>
      <t xml:space="preserve"> </t>
    </r>
  </si>
  <si>
    <t>NOx</t>
  </si>
  <si>
    <t>SO2</t>
  </si>
  <si>
    <t>NOx(mg/m3)</t>
  </si>
  <si>
    <r>
      <rPr>
        <b/>
        <sz val="6"/>
        <rFont val="宋体"/>
        <charset val="134"/>
      </rPr>
      <t>＜</t>
    </r>
    <r>
      <rPr>
        <b/>
        <sz val="6"/>
        <rFont val="Times New Roman"/>
        <charset val="134"/>
      </rPr>
      <t>41</t>
    </r>
  </si>
  <si>
    <t>≤±12</t>
  </si>
  <si>
    <t>[41,103)</t>
  </si>
  <si>
    <t>≤±30%</t>
  </si>
  <si>
    <t>序号</t>
  </si>
  <si>
    <t>参比方法</t>
  </si>
  <si>
    <t>对差</t>
  </si>
  <si>
    <t>[103,513)</t>
  </si>
  <si>
    <t>≤±41</t>
  </si>
  <si>
    <t>≥513</t>
  </si>
  <si>
    <t>SO2(mg/m3)</t>
  </si>
  <si>
    <r>
      <rPr>
        <b/>
        <sz val="6"/>
        <rFont val="宋体"/>
        <charset val="134"/>
      </rPr>
      <t>＜</t>
    </r>
    <r>
      <rPr>
        <b/>
        <sz val="6"/>
        <rFont val="Times New Roman"/>
        <charset val="134"/>
      </rPr>
      <t>57</t>
    </r>
  </si>
  <si>
    <t>≤±17</t>
  </si>
  <si>
    <t>[57,143)</t>
  </si>
  <si>
    <t>[143,715)</t>
  </si>
  <si>
    <t>≤±57</t>
  </si>
  <si>
    <t>≥715</t>
  </si>
  <si>
    <t>绝对误差</t>
  </si>
  <si>
    <t>相对误差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</si>
  <si>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时间</t>
    </r>
  </si>
  <si>
    <r>
      <rPr>
        <sz val="11"/>
        <color theme="1"/>
        <rFont val="Times New Roman"/>
        <charset val="134"/>
      </rPr>
      <t>CEMS</t>
    </r>
    <r>
      <rPr>
        <sz val="11"/>
        <color theme="1"/>
        <rFont val="宋体"/>
        <charset val="134"/>
      </rPr>
      <t>法</t>
    </r>
  </si>
  <si>
    <r>
      <rPr>
        <b/>
        <sz val="10"/>
        <rFont val="宋体"/>
        <charset val="134"/>
      </rPr>
      <t>颗粒物</t>
    </r>
    <r>
      <rPr>
        <b/>
        <sz val="10"/>
        <rFont val="Times New Roman"/>
        <charset val="134"/>
      </rPr>
      <t>(mg/m3)</t>
    </r>
  </si>
  <si>
    <t>≤10</t>
  </si>
  <si>
    <t>≤±5</t>
  </si>
  <si>
    <t>颗粒物浓度</t>
  </si>
  <si>
    <t>流速</t>
  </si>
  <si>
    <t>烟温</t>
  </si>
  <si>
    <t>湿度</t>
  </si>
  <si>
    <r>
      <rPr>
        <b/>
        <sz val="10"/>
        <rFont val="宋体"/>
        <charset val="134"/>
      </rPr>
      <t>（</t>
    </r>
    <r>
      <rPr>
        <b/>
        <sz val="10"/>
        <rFont val="Times New Roman"/>
        <charset val="134"/>
      </rPr>
      <t>10,,20]</t>
    </r>
  </si>
  <si>
    <t>≤±6</t>
  </si>
  <si>
    <r>
      <rPr>
        <sz val="11"/>
        <color theme="1"/>
        <rFont val="Times New Roman"/>
        <charset val="134"/>
      </rPr>
      <t>mg/m</t>
    </r>
    <r>
      <rPr>
        <vertAlign val="superscript"/>
        <sz val="11"/>
        <color theme="1"/>
        <rFont val="Times New Roman"/>
        <charset val="134"/>
      </rPr>
      <t>3</t>
    </r>
  </si>
  <si>
    <t>m/s</t>
  </si>
  <si>
    <t>℃</t>
  </si>
  <si>
    <t>%</t>
  </si>
  <si>
    <t>(20,50]</t>
  </si>
  <si>
    <t>16:41-17:05</t>
  </si>
  <si>
    <t>(50,100]</t>
  </si>
  <si>
    <t>≤±25%</t>
  </si>
  <si>
    <t>17:10-17:34</t>
  </si>
  <si>
    <r>
      <rPr>
        <b/>
        <sz val="10"/>
        <rFont val="宋体"/>
        <charset val="134"/>
      </rPr>
      <t>（</t>
    </r>
    <r>
      <rPr>
        <b/>
        <sz val="10"/>
        <rFont val="Times New Roman"/>
        <charset val="134"/>
      </rPr>
      <t>100,,200]</t>
    </r>
  </si>
  <si>
    <t>≤±20%</t>
  </si>
  <si>
    <t>17:38-18:02</t>
  </si>
  <si>
    <r>
      <rPr>
        <b/>
        <sz val="10"/>
        <rFont val="宋体"/>
        <charset val="134"/>
      </rPr>
      <t>＞</t>
    </r>
    <r>
      <rPr>
        <b/>
        <sz val="10"/>
        <rFont val="Times New Roman"/>
        <charset val="134"/>
      </rPr>
      <t>200</t>
    </r>
  </si>
  <si>
    <t>≤±15%</t>
  </si>
  <si>
    <t>18:09-18:33</t>
  </si>
  <si>
    <t>18:39-19:03</t>
  </si>
  <si>
    <r>
      <rPr>
        <sz val="11"/>
        <color theme="1"/>
        <rFont val="宋体"/>
        <charset val="134"/>
      </rPr>
      <t>颗粒物浓度平均值（</t>
    </r>
    <r>
      <rPr>
        <sz val="11"/>
        <color theme="1"/>
        <rFont val="Times New Roman"/>
        <charset val="134"/>
      </rPr>
      <t>mg/m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）</t>
    </r>
  </si>
  <si>
    <r>
      <rPr>
        <b/>
        <sz val="10"/>
        <rFont val="宋体"/>
        <charset val="134"/>
      </rPr>
      <t>流速</t>
    </r>
    <r>
      <rPr>
        <b/>
        <sz val="10"/>
        <rFont val="Times New Roman"/>
        <charset val="134"/>
      </rPr>
      <t>(m/s)</t>
    </r>
  </si>
  <si>
    <r>
      <rPr>
        <b/>
        <sz val="10"/>
        <rFont val="宋体"/>
        <charset val="134"/>
      </rPr>
      <t>＞</t>
    </r>
    <r>
      <rPr>
        <b/>
        <sz val="10"/>
        <rFont val="Times New Roman"/>
        <charset val="134"/>
      </rPr>
      <t>10</t>
    </r>
  </si>
  <si>
    <t>≤10%</t>
  </si>
  <si>
    <r>
      <rPr>
        <sz val="11"/>
        <color theme="1"/>
        <rFont val="宋体"/>
        <charset val="134"/>
      </rPr>
      <t>流速平均值</t>
    </r>
    <r>
      <rPr>
        <sz val="11"/>
        <color theme="1"/>
        <rFont val="Times New Roman"/>
        <charset val="134"/>
      </rPr>
      <t>(m/s)</t>
    </r>
  </si>
  <si>
    <t>≤12%</t>
  </si>
  <si>
    <r>
      <rPr>
        <sz val="11"/>
        <color theme="1"/>
        <rFont val="宋体"/>
        <charset val="134"/>
      </rPr>
      <t>温度平均值（</t>
    </r>
    <r>
      <rPr>
        <sz val="11"/>
        <color theme="1"/>
        <rFont val="Times New Roman"/>
        <charset val="134"/>
      </rPr>
      <t>℃</t>
    </r>
    <r>
      <rPr>
        <sz val="11"/>
        <color theme="1"/>
        <rFont val="宋体"/>
        <charset val="134"/>
      </rPr>
      <t>）</t>
    </r>
  </si>
  <si>
    <r>
      <rPr>
        <b/>
        <sz val="10"/>
        <rFont val="宋体"/>
        <charset val="134"/>
      </rPr>
      <t>湿度</t>
    </r>
    <r>
      <rPr>
        <b/>
        <sz val="10"/>
        <rFont val="Times New Roman"/>
        <charset val="134"/>
      </rPr>
      <t>(%)</t>
    </r>
  </si>
  <si>
    <t>≤25%</t>
  </si>
  <si>
    <r>
      <rPr>
        <sz val="11"/>
        <color theme="1"/>
        <rFont val="宋体"/>
        <charset val="134"/>
      </rPr>
      <t>湿度平均值（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</si>
  <si>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≤±1.5%</t>
  </si>
  <si>
    <t>颗粒物</t>
  </si>
  <si>
    <r>
      <rPr>
        <sz val="11"/>
        <color theme="1"/>
        <rFont val="宋体"/>
        <charset val="134"/>
      </rPr>
      <t>(＞</t>
    </r>
    <r>
      <rPr>
        <sz val="11"/>
        <color theme="1"/>
        <rFont val="Times New Roman"/>
        <charset val="134"/>
      </rPr>
      <t>200mg/m3</t>
    </r>
    <r>
      <rPr>
        <sz val="11"/>
        <color theme="1"/>
        <rFont val="宋体"/>
        <charset val="134"/>
      </rPr>
      <t xml:space="preserve">) </t>
    </r>
    <r>
      <rPr>
        <sz val="11"/>
        <color theme="1"/>
        <rFont val="Times New Roman"/>
        <charset val="134"/>
      </rPr>
      <t>±15%</t>
    </r>
  </si>
  <si>
    <r>
      <rPr>
        <b/>
        <sz val="10"/>
        <rFont val="宋体"/>
        <charset val="134"/>
      </rPr>
      <t>温度</t>
    </r>
    <r>
      <rPr>
        <b/>
        <sz val="10"/>
        <rFont val="Times New Roman"/>
        <charset val="134"/>
      </rPr>
      <t>(℃</t>
    </r>
    <r>
      <rPr>
        <b/>
        <sz val="10"/>
        <rFont val="宋体"/>
        <charset val="134"/>
      </rPr>
      <t>）</t>
    </r>
  </si>
  <si>
    <t>≤±3℃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</si>
  <si>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100-200]  ±20%</t>
    </r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</si>
  <si>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50-100]  ±25%</t>
    </r>
  </si>
  <si>
    <r>
      <rPr>
        <b/>
        <sz val="9"/>
        <rFont val="宋体"/>
        <charset val="134"/>
      </rPr>
      <t>＜</t>
    </r>
    <r>
      <rPr>
        <b/>
        <sz val="9"/>
        <rFont val="Times New Roman"/>
        <charset val="134"/>
      </rPr>
      <t>41</t>
    </r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</si>
  <si>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20-50]  ±30%</t>
    </r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</si>
  <si>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10-20]  ±6mg/m3</t>
    </r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</si>
  <si>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≤10</t>
    </r>
    <r>
      <rPr>
        <sz val="11"/>
        <color theme="1"/>
        <rFont val="宋体"/>
        <charset val="134"/>
      </rPr>
      <t xml:space="preserve">） </t>
    </r>
    <r>
      <rPr>
        <sz val="11"/>
        <color theme="1"/>
        <rFont val="Times New Roman"/>
        <charset val="134"/>
      </rPr>
      <t>±5mg/m3</t>
    </r>
  </si>
  <si>
    <r>
      <rPr>
        <sz val="11"/>
        <color theme="1"/>
        <rFont val="宋体"/>
        <charset val="134"/>
      </rPr>
      <t>流速（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</si>
  <si>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 xml:space="preserve"> (≤10m/s)   12%</t>
  </si>
  <si>
    <r>
      <rPr>
        <b/>
        <sz val="9"/>
        <rFont val="宋体"/>
        <charset val="134"/>
      </rPr>
      <t>＜</t>
    </r>
    <r>
      <rPr>
        <b/>
        <sz val="9"/>
        <rFont val="Times New Roman"/>
        <charset val="134"/>
      </rPr>
      <t>57</t>
    </r>
  </si>
  <si>
    <r>
      <rPr>
        <sz val="11"/>
        <color theme="1"/>
        <rFont val="Times New Roman"/>
        <charset val="134"/>
      </rPr>
      <t xml:space="preserve"> (</t>
    </r>
    <r>
      <rPr>
        <sz val="11"/>
        <color theme="1"/>
        <rFont val="宋体"/>
        <charset val="134"/>
      </rPr>
      <t>＞</t>
    </r>
    <r>
      <rPr>
        <sz val="11"/>
        <color theme="1"/>
        <rFont val="Times New Roman"/>
        <charset val="134"/>
      </rPr>
      <t>10m/s)  10%</t>
    </r>
  </si>
  <si>
    <r>
      <rPr>
        <sz val="11"/>
        <color theme="1"/>
        <rFont val="宋体"/>
        <charset val="134"/>
      </rPr>
      <t>温度绝对误差（</t>
    </r>
    <r>
      <rPr>
        <sz val="11"/>
        <color theme="1"/>
        <rFont val="Times New Roman"/>
        <charset val="134"/>
      </rPr>
      <t>℃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±3℃</t>
    </r>
  </si>
  <si>
    <t xml:space="preserve"> (≤5.0%)   ±1.5%</t>
  </si>
  <si>
    <r>
      <rPr>
        <sz val="11"/>
        <color theme="1"/>
        <rFont val="Times New Roman"/>
        <charset val="134"/>
      </rPr>
      <t xml:space="preserve"> (</t>
    </r>
    <r>
      <rPr>
        <sz val="11"/>
        <color theme="1"/>
        <rFont val="宋体"/>
        <charset val="134"/>
      </rPr>
      <t>＞</t>
    </r>
    <r>
      <rPr>
        <sz val="11"/>
        <color theme="1"/>
        <rFont val="Times New Roman"/>
        <charset val="134"/>
      </rPr>
      <t>5.0%)  ±25%</t>
    </r>
  </si>
  <si>
    <r>
      <rPr>
        <b/>
        <sz val="11"/>
        <color rgb="FF191F25"/>
        <rFont val="-apple-system"/>
        <charset val="134"/>
      </rPr>
      <t xml:space="preserve"> </t>
    </r>
    <r>
      <rPr>
        <b/>
        <sz val="11"/>
        <color rgb="FF191F25"/>
        <rFont val="宋体"/>
        <charset val="134"/>
      </rPr>
      <t>实际水样测定</t>
    </r>
    <r>
      <rPr>
        <b/>
        <sz val="11"/>
        <color rgb="FF191F25"/>
        <rFont val="-apple-system"/>
        <charset val="134"/>
      </rPr>
      <t xml:space="preserve"> </t>
    </r>
    <r>
      <rPr>
        <b/>
        <sz val="11"/>
        <color rgb="FF191F25"/>
        <rFont val="宋体"/>
        <charset val="134"/>
      </rPr>
      <t>（验收）</t>
    </r>
  </si>
  <si>
    <r>
      <rPr>
        <b/>
        <sz val="10"/>
        <color theme="1"/>
        <rFont val="宋体"/>
        <charset val="134"/>
      </rPr>
      <t>数值</t>
    </r>
  </si>
  <si>
    <r>
      <rPr>
        <b/>
        <sz val="10"/>
        <color theme="1"/>
        <rFont val="Times New Roman"/>
        <charset val="134"/>
      </rPr>
      <t>[H</t>
    </r>
    <r>
      <rPr>
        <b/>
        <vertAlign val="superscript"/>
        <sz val="10"/>
        <color theme="1"/>
        <rFont val="Times New Roman"/>
        <charset val="134"/>
      </rPr>
      <t>+</t>
    </r>
    <r>
      <rPr>
        <b/>
        <sz val="10"/>
        <color theme="1"/>
        <rFont val="Times New Roman"/>
        <charset val="134"/>
      </rPr>
      <t>]</t>
    </r>
  </si>
  <si>
    <r>
      <rPr>
        <b/>
        <sz val="10"/>
        <color theme="1"/>
        <rFont val="Times New Roman"/>
        <charset val="134"/>
      </rPr>
      <t>[OH</t>
    </r>
    <r>
      <rPr>
        <b/>
        <vertAlign val="superscript"/>
        <sz val="10"/>
        <color theme="1"/>
        <rFont val="Times New Roman"/>
        <charset val="134"/>
      </rPr>
      <t>-</t>
    </r>
    <r>
      <rPr>
        <b/>
        <sz val="10"/>
        <color theme="1"/>
        <rFont val="Times New Roman"/>
        <charset val="134"/>
      </rPr>
      <t>]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</si>
  <si>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样品编号</t>
    </r>
    <r>
      <rPr>
        <sz val="10"/>
        <color rgb="FF191F25"/>
        <rFont val="Times New Roman"/>
        <charset val="134"/>
      </rPr>
      <t xml:space="preserve"> 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</si>
  <si>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采样时间</t>
    </r>
    <r>
      <rPr>
        <sz val="10"/>
        <color rgb="FF191F25"/>
        <rFont val="Times New Roman"/>
        <charset val="134"/>
      </rPr>
      <t xml:space="preserve"> 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</si>
  <si>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在线仪器测定值</t>
    </r>
    <r>
      <rPr>
        <sz val="10"/>
        <color rgb="FF191F25"/>
        <rFont val="Times New Roman"/>
        <charset val="134"/>
      </rPr>
      <t xml:space="preserve"> 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</si>
  <si>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实验室测定值</t>
    </r>
    <r>
      <rPr>
        <sz val="10"/>
        <color rgb="FF191F25"/>
        <rFont val="Times New Roman"/>
        <charset val="134"/>
      </rPr>
      <t xml:space="preserve"> 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</si>
  <si>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绝对误差</t>
    </r>
    <r>
      <rPr>
        <sz val="10"/>
        <color rgb="FF191F25"/>
        <rFont val="Times New Roman"/>
        <charset val="134"/>
      </rPr>
      <t xml:space="preserve"> 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</si>
  <si>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相对误差（</t>
    </r>
    <r>
      <rPr>
        <sz val="10"/>
        <color rgb="FF191F25"/>
        <rFont val="Times New Roman"/>
        <charset val="134"/>
      </rPr>
      <t>%</t>
    </r>
    <r>
      <rPr>
        <sz val="10"/>
        <color rgb="FF191F25"/>
        <rFont val="宋体"/>
        <charset val="134"/>
      </rPr>
      <t>）</t>
    </r>
    <r>
      <rPr>
        <sz val="10"/>
        <color rgb="FF191F25"/>
        <rFont val="Times New Roman"/>
        <charset val="134"/>
      </rPr>
      <t xml:space="preserve"> 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</si>
  <si>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结果</t>
    </r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评定</t>
    </r>
    <r>
      <rPr>
        <sz val="10"/>
        <color rgb="FF191F25"/>
        <rFont val="Times New Roman"/>
        <charset val="134"/>
      </rPr>
      <t xml:space="preserve"> 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</si>
  <si>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备注</t>
    </r>
    <r>
      <rPr>
        <sz val="10"/>
        <color rgb="FF191F25"/>
        <rFont val="Times New Roman"/>
        <charset val="134"/>
      </rPr>
      <t xml:space="preserve"> </t>
    </r>
  </si>
  <si>
    <r>
      <rPr>
        <sz val="10"/>
        <color rgb="FF191F25"/>
        <rFont val="Times New Roman"/>
        <charset val="134"/>
      </rPr>
      <t xml:space="preserve"> </t>
    </r>
    <r>
      <rPr>
        <sz val="10"/>
        <color rgb="FF191F25"/>
        <rFont val="宋体"/>
        <charset val="134"/>
      </rPr>
      <t>合格</t>
    </r>
    <r>
      <rPr>
        <sz val="10"/>
        <color rgb="FF191F25"/>
        <rFont val="Times New Roman"/>
        <charset val="134"/>
      </rPr>
      <t xml:space="preserve"> </t>
    </r>
  </si>
  <si>
    <r>
      <rPr>
        <b/>
        <u/>
        <sz val="10"/>
        <color rgb="FF191F25"/>
        <rFont val="Times New Roman"/>
        <charset val="134"/>
      </rPr>
      <t>(CODCr</t>
    </r>
    <r>
      <rPr>
        <b/>
        <u/>
        <sz val="10"/>
        <color rgb="FF191F25"/>
        <rFont val="宋体"/>
        <charset val="134"/>
      </rPr>
      <t>、</t>
    </r>
    <r>
      <rPr>
        <b/>
        <u/>
        <sz val="10"/>
        <color rgb="FF191F25"/>
        <rFont val="Times New Roman"/>
        <charset val="134"/>
      </rPr>
      <t>NH3-N</t>
    </r>
    <r>
      <rPr>
        <b/>
        <u/>
        <sz val="10"/>
        <color rgb="FF191F25"/>
        <rFont val="宋体"/>
        <charset val="134"/>
      </rPr>
      <t>、</t>
    </r>
    <r>
      <rPr>
        <b/>
        <u/>
        <sz val="10"/>
        <color rgb="FF191F25"/>
        <rFont val="Times New Roman"/>
        <charset val="134"/>
      </rPr>
      <t>TP</t>
    </r>
    <r>
      <rPr>
        <b/>
        <u/>
        <sz val="10"/>
        <color rgb="FF191F25"/>
        <rFont val="宋体"/>
        <charset val="134"/>
      </rPr>
      <t>、</t>
    </r>
    <r>
      <rPr>
        <b/>
        <u/>
        <sz val="10"/>
        <color rgb="FF191F25"/>
        <rFont val="Times New Roman"/>
        <charset val="134"/>
      </rPr>
      <t>TN)</t>
    </r>
  </si>
  <si>
    <r>
      <rPr>
        <b/>
        <sz val="10"/>
        <color theme="1"/>
        <rFont val="宋体"/>
        <charset val="134"/>
      </rPr>
      <t>浓度均值</t>
    </r>
  </si>
  <si>
    <r>
      <rPr>
        <sz val="10"/>
        <color rgb="FF191F25"/>
        <rFont val="宋体"/>
        <charset val="134"/>
      </rPr>
      <t>合格</t>
    </r>
  </si>
  <si>
    <r>
      <rPr>
        <sz val="10"/>
        <color rgb="FF191F25"/>
        <rFont val="Times New Roman"/>
        <charset val="134"/>
      </rPr>
      <t>pH</t>
    </r>
    <r>
      <rPr>
        <sz val="10"/>
        <color rgb="FF191F25"/>
        <rFont val="宋体"/>
        <charset val="134"/>
      </rPr>
      <t>；如</t>
    </r>
    <r>
      <rPr>
        <sz val="10"/>
        <color rgb="FF191F25"/>
        <rFont val="Times New Roman"/>
        <charset val="134"/>
      </rPr>
      <t>pH</t>
    </r>
    <r>
      <rPr>
        <sz val="10"/>
        <color rgb="FF191F25"/>
        <rFont val="宋体"/>
        <charset val="134"/>
      </rPr>
      <t>测量偏差太大，则需用右侧计算公式。</t>
    </r>
  </si>
  <si>
    <r>
      <rPr>
        <b/>
        <sz val="10"/>
        <color theme="1"/>
        <rFont val="宋体"/>
        <charset val="134"/>
      </rPr>
      <t>剩余浓度</t>
    </r>
  </si>
  <si>
    <r>
      <rPr>
        <b/>
        <sz val="10"/>
        <color theme="1"/>
        <rFont val="宋体"/>
        <charset val="134"/>
      </rPr>
      <t>总浓度</t>
    </r>
  </si>
  <si>
    <t>pH</t>
  </si>
  <si>
    <r>
      <rPr>
        <b/>
        <sz val="11"/>
        <color rgb="FF191F25"/>
        <rFont val="-apple-system"/>
        <charset val="134"/>
      </rPr>
      <t xml:space="preserve"> </t>
    </r>
    <r>
      <rPr>
        <b/>
        <sz val="11"/>
        <color rgb="FF191F25"/>
        <rFont val="宋体"/>
        <charset val="134"/>
      </rPr>
      <t>质控样品测定</t>
    </r>
    <r>
      <rPr>
        <b/>
        <sz val="11"/>
        <color rgb="FF191F25"/>
        <rFont val="-apple-system"/>
        <charset val="134"/>
      </rPr>
      <t xml:space="preserve"> </t>
    </r>
  </si>
  <si>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标样编号</t>
    </r>
    <r>
      <rPr>
        <sz val="10"/>
        <color rgb="FF191F25"/>
        <rFont val="-apple-system"/>
        <charset val="134"/>
      </rPr>
      <t xml:space="preserve"> </t>
    </r>
  </si>
  <si>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测试</t>
    </r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时间</t>
    </r>
    <r>
      <rPr>
        <sz val="10"/>
        <color rgb="FF191F25"/>
        <rFont val="-apple-system"/>
        <charset val="134"/>
      </rPr>
      <t xml:space="preserve"> </t>
    </r>
  </si>
  <si>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标准样品浓度</t>
    </r>
    <r>
      <rPr>
        <sz val="10"/>
        <color rgb="FF191F25"/>
        <rFont val="-apple-system"/>
        <charset val="134"/>
      </rPr>
      <t xml:space="preserve"> </t>
    </r>
  </si>
  <si>
    <t>在线仪器测定值</t>
  </si>
  <si>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绝对误差</t>
    </r>
    <r>
      <rPr>
        <sz val="10"/>
        <color rgb="FF191F25"/>
        <rFont val="-apple-system"/>
        <charset val="134"/>
      </rPr>
      <t xml:space="preserve"> </t>
    </r>
  </si>
  <si>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相对误差（</t>
    </r>
    <r>
      <rPr>
        <sz val="10"/>
        <color rgb="FF191F25"/>
        <rFont val="-apple-system"/>
        <charset val="134"/>
      </rPr>
      <t>%</t>
    </r>
    <r>
      <rPr>
        <sz val="10"/>
        <color rgb="FF191F25"/>
        <rFont val="宋体"/>
        <charset val="134"/>
      </rPr>
      <t>）</t>
    </r>
    <r>
      <rPr>
        <sz val="10"/>
        <color rgb="FF191F25"/>
        <rFont val="-apple-system"/>
        <charset val="134"/>
      </rPr>
      <t xml:space="preserve"> </t>
    </r>
  </si>
  <si>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结果</t>
    </r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评定</t>
    </r>
    <r>
      <rPr>
        <sz val="10"/>
        <color rgb="FF191F25"/>
        <rFont val="-apple-system"/>
        <charset val="134"/>
      </rPr>
      <t xml:space="preserve"> </t>
    </r>
  </si>
  <si>
    <r>
      <rPr>
        <sz val="10"/>
        <color rgb="FF191F25"/>
        <rFont val="-apple-system"/>
        <charset val="134"/>
      </rPr>
      <t xml:space="preserve"> </t>
    </r>
    <r>
      <rPr>
        <sz val="10"/>
        <color rgb="FF191F25"/>
        <rFont val="宋体"/>
        <charset val="134"/>
      </rPr>
      <t>备注</t>
    </r>
    <r>
      <rPr>
        <sz val="10"/>
        <color rgb="FF191F25"/>
        <rFont val="-apple-system"/>
        <charset val="134"/>
      </rPr>
      <t xml:space="preserve"> </t>
    </r>
  </si>
  <si>
    <t xml:space="preserve"> 合格 </t>
  </si>
  <si>
    <r>
      <rPr>
        <sz val="8"/>
        <color rgb="FF191F25"/>
        <rFont val="宋体"/>
        <charset val="134"/>
      </rPr>
      <t>采用有证标准样品作为准确度试验考核样品，分别用两种浓度的有证标准样品进行考核，</t>
    </r>
    <r>
      <rPr>
        <sz val="8"/>
        <color rgb="FF191F25"/>
        <rFont val="Times New Roman"/>
        <charset val="134"/>
      </rPr>
      <t xml:space="preserve">
</t>
    </r>
    <r>
      <rPr>
        <b/>
        <sz val="8"/>
        <color rgb="FF191F25"/>
        <rFont val="宋体"/>
        <charset val="134"/>
      </rPr>
      <t>一种为接近实际废水排放浓度的样品</t>
    </r>
    <r>
      <rPr>
        <sz val="8"/>
        <color rgb="FF191F25"/>
        <rFont val="宋体"/>
        <charset val="134"/>
      </rPr>
      <t>，</t>
    </r>
    <r>
      <rPr>
        <b/>
        <sz val="8"/>
        <color rgb="FF191F25"/>
        <rFont val="宋体"/>
        <charset val="134"/>
      </rPr>
      <t>另一种为接近相应排放标准浓度</t>
    </r>
    <r>
      <rPr>
        <b/>
        <sz val="8"/>
        <color rgb="FF191F25"/>
        <rFont val="Times New Roman"/>
        <charset val="134"/>
      </rPr>
      <t>2</t>
    </r>
    <r>
      <rPr>
        <b/>
        <sz val="8"/>
        <color rgb="FF191F25"/>
        <rFont val="宋体"/>
        <charset val="134"/>
      </rPr>
      <t>～</t>
    </r>
    <r>
      <rPr>
        <b/>
        <sz val="8"/>
        <color rgb="FF191F25"/>
        <rFont val="Times New Roman"/>
        <charset val="134"/>
      </rPr>
      <t>3</t>
    </r>
    <r>
      <rPr>
        <b/>
        <sz val="8"/>
        <color rgb="FF191F25"/>
        <rFont val="宋体"/>
        <charset val="134"/>
      </rPr>
      <t>倍的样品</t>
    </r>
    <r>
      <rPr>
        <b/>
        <sz val="8"/>
        <color rgb="FF191F25"/>
        <rFont val="Times New Roman"/>
        <charset val="134"/>
      </rPr>
      <t xml:space="preserve">   </t>
    </r>
    <r>
      <rPr>
        <b/>
        <u/>
        <sz val="8"/>
        <color rgb="FF191F25"/>
        <rFont val="Times New Roman"/>
        <charset val="134"/>
      </rPr>
      <t>(CODCr</t>
    </r>
    <r>
      <rPr>
        <b/>
        <u/>
        <sz val="8"/>
        <color rgb="FF191F25"/>
        <rFont val="宋体"/>
        <charset val="134"/>
      </rPr>
      <t>、</t>
    </r>
    <r>
      <rPr>
        <b/>
        <u/>
        <sz val="8"/>
        <color rgb="FF191F25"/>
        <rFont val="Times New Roman"/>
        <charset val="134"/>
      </rPr>
      <t>NH3-N</t>
    </r>
    <r>
      <rPr>
        <b/>
        <u/>
        <sz val="8"/>
        <color rgb="FF191F25"/>
        <rFont val="宋体"/>
        <charset val="134"/>
      </rPr>
      <t>、</t>
    </r>
    <r>
      <rPr>
        <b/>
        <u/>
        <sz val="8"/>
        <color rgb="FF191F25"/>
        <rFont val="Times New Roman"/>
        <charset val="134"/>
      </rPr>
      <t>TP</t>
    </r>
    <r>
      <rPr>
        <b/>
        <u/>
        <sz val="8"/>
        <color rgb="FF191F25"/>
        <rFont val="宋体"/>
        <charset val="134"/>
      </rPr>
      <t>、</t>
    </r>
    <r>
      <rPr>
        <b/>
        <u/>
        <sz val="8"/>
        <color rgb="FF191F25"/>
        <rFont val="Times New Roman"/>
        <charset val="134"/>
      </rPr>
      <t>TN)</t>
    </r>
  </si>
  <si>
    <t>合格</t>
  </si>
  <si>
    <r>
      <rPr>
        <u/>
        <sz val="8"/>
        <color rgb="FF191F25"/>
        <rFont val="-apple-system"/>
        <charset val="134"/>
      </rPr>
      <t>pH</t>
    </r>
    <r>
      <rPr>
        <sz val="8"/>
        <color rgb="FF191F25"/>
        <rFont val="宋体"/>
        <charset val="134"/>
      </rPr>
      <t>水质自动分析仪的电极浸入</t>
    </r>
    <r>
      <rPr>
        <sz val="8"/>
        <color rgb="FF191F25"/>
        <rFont val="-apple-system"/>
        <charset val="134"/>
      </rPr>
      <t>pH=4.008</t>
    </r>
    <r>
      <rPr>
        <sz val="8"/>
        <color rgb="FF191F25"/>
        <rFont val="宋体"/>
        <charset val="134"/>
      </rPr>
      <t>（</t>
    </r>
    <r>
      <rPr>
        <sz val="8"/>
        <color rgb="FF191F25"/>
        <rFont val="-apple-system"/>
        <charset val="134"/>
      </rPr>
      <t xml:space="preserve">25 </t>
    </r>
    <r>
      <rPr>
        <sz val="8"/>
        <color rgb="FF191F25"/>
        <rFont val="宋体"/>
        <charset val="134"/>
      </rPr>
      <t>℃）的有证标准样品，连续测定</t>
    </r>
    <r>
      <rPr>
        <sz val="8"/>
        <color rgb="FF191F25"/>
        <rFont val="-apple-system"/>
        <charset val="134"/>
      </rPr>
      <t>6</t>
    </r>
    <r>
      <rPr>
        <sz val="8"/>
        <color rgb="FF191F25"/>
        <rFont val="宋体"/>
        <charset val="134"/>
      </rPr>
      <t>次，计算</t>
    </r>
    <r>
      <rPr>
        <sz val="8"/>
        <color rgb="FF191F25"/>
        <rFont val="-apple-system"/>
        <charset val="134"/>
      </rPr>
      <t>6</t>
    </r>
    <r>
      <rPr>
        <sz val="8"/>
        <color rgb="FF191F25"/>
        <rFont val="宋体"/>
        <charset val="134"/>
      </rPr>
      <t>次测定值的算术平均值与标准值的误差。</t>
    </r>
  </si>
  <si>
    <t>化学因素（标黄的不能动）</t>
  </si>
  <si>
    <t>采样点</t>
  </si>
  <si>
    <t>工种</t>
  </si>
  <si>
    <r>
      <rPr>
        <b/>
        <sz val="12"/>
        <color rgb="FF000000"/>
        <rFont val="宋体"/>
        <charset val="134"/>
      </rPr>
      <t>接触时间（</t>
    </r>
    <r>
      <rPr>
        <b/>
        <sz val="12"/>
        <color rgb="FF000000"/>
        <rFont val="Times New Roman"/>
        <charset val="134"/>
      </rPr>
      <t>h/d</t>
    </r>
    <r>
      <rPr>
        <b/>
        <sz val="12"/>
        <color rgb="FF000000"/>
        <rFont val="宋体"/>
        <charset val="134"/>
      </rPr>
      <t>）</t>
    </r>
  </si>
  <si>
    <t>检测结果</t>
  </si>
  <si>
    <t>接触限值</t>
  </si>
  <si>
    <t>峰接触浓度</t>
  </si>
  <si>
    <t>峰接触</t>
  </si>
  <si>
    <t>判定</t>
  </si>
  <si>
    <t>检测地点</t>
  </si>
  <si>
    <r>
      <rPr>
        <b/>
        <sz val="11"/>
        <color rgb="FF000000"/>
        <rFont val="仿宋_GB2312"/>
        <charset val="134"/>
      </rPr>
      <t>接触时间（</t>
    </r>
    <r>
      <rPr>
        <b/>
        <sz val="11"/>
        <color rgb="FF000000"/>
        <rFont val="Times New Roman"/>
        <charset val="134"/>
      </rPr>
      <t>h/d</t>
    </r>
    <r>
      <rPr>
        <b/>
        <sz val="11"/>
        <color rgb="FF000000"/>
        <rFont val="仿宋_GB2312"/>
        <charset val="134"/>
      </rPr>
      <t>）</t>
    </r>
  </si>
  <si>
    <r>
      <rPr>
        <b/>
        <sz val="12"/>
        <color rgb="FF000000"/>
        <rFont val="仿宋_GB2312"/>
        <charset val="134"/>
      </rPr>
      <t>单次测量结果</t>
    </r>
  </si>
  <si>
    <r>
      <rPr>
        <b/>
        <sz val="12"/>
        <color theme="1"/>
        <rFont val="Times New Roman"/>
        <charset val="134"/>
      </rPr>
      <t>L</t>
    </r>
    <r>
      <rPr>
        <b/>
        <vertAlign val="subscript"/>
        <sz val="12"/>
        <color theme="1"/>
        <rFont val="Times New Roman"/>
        <charset val="134"/>
      </rPr>
      <t>Aeq,Te</t>
    </r>
  </si>
  <si>
    <r>
      <rPr>
        <b/>
        <sz val="12"/>
        <color theme="1"/>
        <rFont val="Times New Roman"/>
        <charset val="134"/>
      </rPr>
      <t>L</t>
    </r>
    <r>
      <rPr>
        <b/>
        <vertAlign val="subscript"/>
        <sz val="12"/>
        <color theme="1"/>
        <rFont val="Times New Roman"/>
        <charset val="134"/>
      </rPr>
      <t>EX,8h</t>
    </r>
  </si>
  <si>
    <t>浓度限值</t>
  </si>
  <si>
    <r>
      <rPr>
        <b/>
        <sz val="12"/>
        <color rgb="FF000000"/>
        <rFont val="仿宋_GB2312"/>
        <charset val="134"/>
      </rPr>
      <t>第一次</t>
    </r>
  </si>
  <si>
    <r>
      <rPr>
        <b/>
        <sz val="12"/>
        <color rgb="FF000000"/>
        <rFont val="仿宋_GB2312"/>
        <charset val="134"/>
      </rPr>
      <t>第二次</t>
    </r>
  </si>
  <si>
    <r>
      <rPr>
        <b/>
        <sz val="12"/>
        <color rgb="FF000000"/>
        <rFont val="仿宋_GB2312"/>
        <charset val="134"/>
      </rPr>
      <t>第三次</t>
    </r>
  </si>
  <si>
    <r>
      <rPr>
        <b/>
        <sz val="12"/>
        <color rgb="FF000000"/>
        <rFont val="Times New Roman"/>
        <charset val="134"/>
      </rPr>
      <t>C</t>
    </r>
    <r>
      <rPr>
        <b/>
        <sz val="12"/>
        <color rgb="FF000000"/>
        <rFont val="Times New Roman"/>
        <charset val="134"/>
      </rPr>
      <t>STE</t>
    </r>
  </si>
  <si>
    <r>
      <rPr>
        <b/>
        <sz val="12"/>
        <color rgb="FF000000"/>
        <rFont val="Times New Roman"/>
        <charset val="134"/>
      </rPr>
      <t>C</t>
    </r>
    <r>
      <rPr>
        <b/>
        <sz val="12"/>
        <color rgb="FF000000"/>
        <rFont val="Times New Roman"/>
        <charset val="134"/>
      </rPr>
      <t>TWA</t>
    </r>
  </si>
  <si>
    <t>PC-STEL</t>
  </si>
  <si>
    <t>PC-TWA</t>
  </si>
  <si>
    <r>
      <rPr>
        <b/>
        <sz val="12"/>
        <color rgb="FF000000"/>
        <rFont val="Times New Roman"/>
        <charset val="134"/>
      </rPr>
      <t>C</t>
    </r>
    <r>
      <rPr>
        <b/>
        <sz val="12"/>
        <color rgb="FF000000"/>
        <rFont val="Times New Roman"/>
        <charset val="134"/>
      </rPr>
      <t>PE</t>
    </r>
  </si>
  <si>
    <t>3PC-TWA</t>
  </si>
  <si>
    <t>5PC-TWA</t>
  </si>
  <si>
    <r>
      <rPr>
        <sz val="12"/>
        <color theme="1"/>
        <rFont val="宋体"/>
        <charset val="134"/>
      </rPr>
      <t>情况一</t>
    </r>
    <r>
      <rPr>
        <sz val="12"/>
        <color theme="1"/>
        <rFont val="Times New Roman"/>
        <charset val="134"/>
      </rPr>
      <t xml:space="preserve">
5d/w,</t>
    </r>
    <r>
      <rPr>
        <sz val="12"/>
        <color theme="1"/>
        <rFont val="宋体"/>
        <charset val="134"/>
      </rPr>
      <t>＝</t>
    </r>
    <r>
      <rPr>
        <sz val="12"/>
        <color theme="1"/>
        <rFont val="Times New Roman"/>
        <charset val="134"/>
      </rPr>
      <t>8h/d
5d/w,≠8h/d</t>
    </r>
  </si>
  <si>
    <t>情况一：一个工种一个场所</t>
  </si>
  <si>
    <r>
      <rPr>
        <b/>
        <sz val="12"/>
        <color theme="1"/>
        <rFont val="Times New Roman"/>
        <charset val="134"/>
      </rPr>
      <t>L</t>
    </r>
    <r>
      <rPr>
        <b/>
        <vertAlign val="subscript"/>
        <sz val="12"/>
        <color theme="1"/>
        <rFont val="Times New Roman"/>
        <charset val="134"/>
      </rPr>
      <t>Aeq</t>
    </r>
    <r>
      <rPr>
        <b/>
        <vertAlign val="subscript"/>
        <sz val="12"/>
        <color theme="1"/>
        <rFont val="仿宋_GB2312"/>
        <charset val="134"/>
      </rPr>
      <t>,</t>
    </r>
    <r>
      <rPr>
        <b/>
        <vertAlign val="subscript"/>
        <sz val="12"/>
        <color theme="1"/>
        <rFont val="Times New Roman"/>
        <charset val="134"/>
      </rPr>
      <t>Te</t>
    </r>
  </si>
  <si>
    <r>
      <rPr>
        <b/>
        <sz val="12"/>
        <color theme="1"/>
        <rFont val="Times New Roman"/>
        <charset val="134"/>
      </rPr>
      <t>L</t>
    </r>
    <r>
      <rPr>
        <b/>
        <vertAlign val="subscript"/>
        <sz val="12"/>
        <color theme="1"/>
        <rFont val="Times New Roman"/>
        <charset val="134"/>
      </rPr>
      <t>EX,w</t>
    </r>
  </si>
  <si>
    <r>
      <rPr>
        <b/>
        <sz val="14"/>
        <color rgb="FF000000"/>
        <rFont val="宋体"/>
        <charset val="134"/>
      </rPr>
      <t>工作场所噪声检测结果与判定</t>
    </r>
    <r>
      <rPr>
        <b/>
        <sz val="14"/>
        <color rgb="FF000000"/>
        <rFont val="Times New Roman"/>
        <charset val="134"/>
      </rPr>
      <t>[dB(A)]</t>
    </r>
  </si>
  <si>
    <r>
      <rPr>
        <b/>
        <sz val="12"/>
        <color rgb="FF000000"/>
        <rFont val="仿宋_GB2312"/>
        <charset val="134"/>
      </rPr>
      <t>接触时间（</t>
    </r>
    <r>
      <rPr>
        <b/>
        <sz val="12"/>
        <color rgb="FF000000"/>
        <rFont val="仿宋_GB2312"/>
        <charset val="134"/>
      </rPr>
      <t>h/d</t>
    </r>
    <r>
      <rPr>
        <b/>
        <sz val="12"/>
        <color rgb="FF000000"/>
        <rFont val="仿宋_GB2312"/>
        <charset val="134"/>
      </rPr>
      <t>）</t>
    </r>
  </si>
  <si>
    <t>单次测量结果</t>
  </si>
  <si>
    <t>测量结果</t>
  </si>
  <si>
    <t>职业接触限值</t>
  </si>
  <si>
    <r>
      <rPr>
        <sz val="12"/>
        <color theme="1"/>
        <rFont val="宋体"/>
        <charset val="134"/>
      </rPr>
      <t>情况二</t>
    </r>
    <r>
      <rPr>
        <sz val="12"/>
        <color theme="1"/>
        <rFont val="Times New Roman"/>
        <charset val="134"/>
      </rPr>
      <t xml:space="preserve">
≠5d/w </t>
    </r>
  </si>
  <si>
    <r>
      <rPr>
        <b/>
        <sz val="12"/>
        <color theme="1"/>
        <rFont val="Times New Roman"/>
        <charset val="134"/>
      </rPr>
      <t>L</t>
    </r>
    <r>
      <rPr>
        <b/>
        <vertAlign val="subscript"/>
        <sz val="12"/>
        <color theme="1"/>
        <rFont val="Times New Roman"/>
        <charset val="134"/>
      </rPr>
      <t>Aeq</t>
    </r>
    <r>
      <rPr>
        <b/>
        <vertAlign val="subscript"/>
        <sz val="12"/>
        <color theme="1"/>
        <rFont val="仿宋_GB2312"/>
        <charset val="134"/>
      </rPr>
      <t>，</t>
    </r>
    <r>
      <rPr>
        <b/>
        <vertAlign val="subscript"/>
        <sz val="12"/>
        <color theme="1"/>
        <rFont val="Times New Roman"/>
        <charset val="134"/>
      </rPr>
      <t>Te</t>
    </r>
  </si>
  <si>
    <t>情况一
5d/w,＝8h/d
5d/w,≠8h/d</t>
  </si>
  <si>
    <t>情况二:同个工种多个场所</t>
  </si>
  <si>
    <t>每周实际工作天数</t>
  </si>
  <si>
    <t>TWA计算</t>
  </si>
  <si>
    <t xml:space="preserve">情况二
≠5d/w </t>
  </si>
  <si>
    <t>紫外辐射</t>
  </si>
  <si>
    <t>工频电场</t>
  </si>
  <si>
    <r>
      <rPr>
        <b/>
        <sz val="10"/>
        <color rgb="FF595959"/>
        <rFont val="宋体"/>
        <charset val="134"/>
      </rPr>
      <t>检测值</t>
    </r>
    <r>
      <rPr>
        <b/>
        <sz val="10"/>
        <color rgb="FF595959"/>
        <rFont val="Times New Roman"/>
        <charset val="134"/>
      </rPr>
      <t>1</t>
    </r>
  </si>
  <si>
    <r>
      <rPr>
        <b/>
        <sz val="10"/>
        <color rgb="FF595959"/>
        <rFont val="宋体"/>
        <charset val="134"/>
      </rPr>
      <t>检测值</t>
    </r>
    <r>
      <rPr>
        <b/>
        <sz val="10"/>
        <color rgb="FF595959"/>
        <rFont val="Times New Roman"/>
        <charset val="134"/>
      </rPr>
      <t>2</t>
    </r>
  </si>
  <si>
    <r>
      <rPr>
        <b/>
        <sz val="10"/>
        <color rgb="FF595959"/>
        <rFont val="宋体"/>
        <charset val="134"/>
      </rPr>
      <t>检测值</t>
    </r>
    <r>
      <rPr>
        <b/>
        <sz val="10"/>
        <color rgb="FF595959"/>
        <rFont val="Times New Roman"/>
        <charset val="134"/>
      </rPr>
      <t>3</t>
    </r>
  </si>
  <si>
    <r>
      <rPr>
        <b/>
        <sz val="10"/>
        <color rgb="FF595959"/>
        <rFont val="宋体"/>
        <charset val="134"/>
      </rPr>
      <t>①</t>
    </r>
    <r>
      <rPr>
        <b/>
        <sz val="10"/>
        <color rgb="FF595959"/>
        <rFont val="Times New Roman"/>
        <charset val="134"/>
      </rPr>
      <t xml:space="preserve"> </t>
    </r>
    <r>
      <rPr>
        <b/>
        <sz val="10"/>
        <color rgb="FF595959"/>
        <rFont val="宋体"/>
        <charset val="134"/>
      </rPr>
      <t>平均值</t>
    </r>
  </si>
  <si>
    <r>
      <rPr>
        <b/>
        <sz val="10"/>
        <color rgb="FF595959"/>
        <rFont val="宋体"/>
        <charset val="134"/>
      </rPr>
      <t>②</t>
    </r>
    <r>
      <rPr>
        <b/>
        <sz val="10"/>
        <color rgb="FF595959"/>
        <rFont val="Times New Roman"/>
        <charset val="134"/>
      </rPr>
      <t xml:space="preserve"> </t>
    </r>
    <r>
      <rPr>
        <b/>
        <sz val="10"/>
        <color rgb="FF595959"/>
        <rFont val="宋体"/>
        <charset val="134"/>
      </rPr>
      <t>最大值</t>
    </r>
  </si>
  <si>
    <r>
      <rPr>
        <b/>
        <i/>
        <sz val="10"/>
        <color rgb="FF595959"/>
        <rFont val="宋体"/>
        <charset val="134"/>
      </rPr>
      <t>接触时间</t>
    </r>
    <r>
      <rPr>
        <b/>
        <i/>
        <sz val="10"/>
        <color rgb="FF595959"/>
        <rFont val="Times New Roman"/>
        <charset val="134"/>
      </rPr>
      <t>h</t>
    </r>
  </si>
  <si>
    <r>
      <rPr>
        <b/>
        <i/>
        <sz val="10"/>
        <color rgb="FF595959"/>
        <rFont val="宋体"/>
        <charset val="134"/>
      </rPr>
      <t>①</t>
    </r>
    <r>
      <rPr>
        <b/>
        <i/>
        <sz val="10"/>
        <color rgb="FF595959"/>
        <rFont val="Times New Roman"/>
        <charset val="134"/>
      </rPr>
      <t xml:space="preserve"> E8</t>
    </r>
    <r>
      <rPr>
        <b/>
        <i/>
        <sz val="10"/>
        <color rgb="FF595959"/>
        <rFont val="宋体"/>
        <charset val="134"/>
      </rPr>
      <t>平均值</t>
    </r>
  </si>
  <si>
    <r>
      <rPr>
        <b/>
        <i/>
        <sz val="10"/>
        <color rgb="FF595959"/>
        <rFont val="宋体"/>
        <charset val="134"/>
      </rPr>
      <t>②</t>
    </r>
    <r>
      <rPr>
        <b/>
        <i/>
        <sz val="10"/>
        <color rgb="FF595959"/>
        <rFont val="Times New Roman"/>
        <charset val="134"/>
      </rPr>
      <t xml:space="preserve"> E8</t>
    </r>
    <r>
      <rPr>
        <b/>
        <i/>
        <sz val="10"/>
        <color rgb="FF595959"/>
        <rFont val="宋体"/>
        <charset val="134"/>
      </rPr>
      <t>最大值</t>
    </r>
  </si>
  <si>
    <t>需要折算</t>
  </si>
  <si>
    <t>h</t>
  </si>
  <si>
    <t>R</t>
  </si>
  <si>
    <r>
      <rPr>
        <sz val="9"/>
        <color rgb="FF595959"/>
        <rFont val="宋体"/>
        <charset val="134"/>
      </rPr>
      <t>每天＞</t>
    </r>
    <r>
      <rPr>
        <sz val="9"/>
        <color rgb="FF595959"/>
        <rFont val="Helvetica Neue For Number"/>
        <charset val="134"/>
      </rPr>
      <t>8h</t>
    </r>
  </si>
  <si>
    <r>
      <rPr>
        <sz val="9"/>
        <color rgb="FF595959"/>
        <rFont val="Helvetica Neue For Number"/>
        <charset val="134"/>
      </rPr>
      <t>R*GBZ2.1</t>
    </r>
    <r>
      <rPr>
        <sz val="9"/>
        <color rgb="FF595959"/>
        <rFont val="宋体"/>
        <charset val="134"/>
      </rPr>
      <t>限值</t>
    </r>
  </si>
  <si>
    <r>
      <rPr>
        <sz val="9"/>
        <color rgb="FF595959"/>
        <rFont val="宋体"/>
        <charset val="134"/>
      </rPr>
      <t>每周＞</t>
    </r>
    <r>
      <rPr>
        <sz val="9"/>
        <color rgb="FF595959"/>
        <rFont val="Helvetica Neue For Number"/>
        <charset val="134"/>
      </rPr>
      <t>40h</t>
    </r>
    <r>
      <rPr>
        <sz val="9"/>
        <color rgb="FF595959"/>
        <rFont val="宋体"/>
        <charset val="134"/>
      </rPr>
      <t>或</t>
    </r>
    <r>
      <rPr>
        <sz val="9"/>
        <color rgb="FF595959"/>
        <rFont val="Helvetica Neue For Number"/>
        <charset val="134"/>
      </rPr>
      <t>5d</t>
    </r>
  </si>
  <si>
    <t>照度均值</t>
  </si>
  <si>
    <t>苯系物</t>
  </si>
  <si>
    <t>个体噪声</t>
  </si>
  <si>
    <t>接触时间</t>
  </si>
  <si>
    <t>工作天数</t>
  </si>
  <si>
    <t>LEX,8h</t>
  </si>
  <si>
    <t>LEX,w</t>
  </si>
  <si>
    <t>Q</t>
  </si>
  <si>
    <t>Tt</t>
  </si>
  <si>
    <r>
      <rPr>
        <sz val="9"/>
        <color rgb="FF595959"/>
        <rFont val="Helvetica Neue For Number"/>
        <charset val="134"/>
      </rPr>
      <t>P</t>
    </r>
    <r>
      <rPr>
        <sz val="9"/>
        <color rgb="FF595959"/>
        <rFont val="宋体"/>
        <charset val="134"/>
      </rPr>
      <t>实</t>
    </r>
  </si>
  <si>
    <r>
      <rPr>
        <sz val="9"/>
        <color rgb="FF595959"/>
        <rFont val="Helvetica Neue For Number"/>
        <charset val="134"/>
      </rPr>
      <t>T</t>
    </r>
    <r>
      <rPr>
        <sz val="9"/>
        <color rgb="FF595959"/>
        <rFont val="宋体"/>
        <charset val="134"/>
      </rPr>
      <t>温</t>
    </r>
  </si>
  <si>
    <t>公示上</t>
  </si>
  <si>
    <t>公式下</t>
  </si>
  <si>
    <t>水中化学平衡-01</t>
  </si>
  <si>
    <t>缺失离子</t>
  </si>
  <si>
    <t>阳离子</t>
  </si>
  <si>
    <t>测定结果</t>
  </si>
  <si>
    <t>阴离子</t>
  </si>
  <si>
    <r>
      <rPr>
        <b/>
        <sz val="12"/>
        <rFont val="宋体"/>
        <charset val="134"/>
      </rPr>
      <t>颜色标记</t>
    </r>
    <r>
      <rPr>
        <sz val="12"/>
        <rFont val="宋体"/>
        <charset val="134"/>
      </rPr>
      <t>的单元格</t>
    </r>
    <r>
      <rPr>
        <b/>
        <sz val="12"/>
        <rFont val="宋体"/>
        <charset val="134"/>
      </rPr>
      <t xml:space="preserve">无需填写 </t>
    </r>
    <r>
      <rPr>
        <sz val="12"/>
        <rFont val="宋体"/>
        <charset val="134"/>
      </rPr>
      <t xml:space="preserve">   均为系统默认值或自动计算值；</t>
    </r>
    <r>
      <rPr>
        <b/>
        <sz val="12"/>
        <rFont val="宋体"/>
        <charset val="134"/>
      </rPr>
      <t>只填</t>
    </r>
    <r>
      <rPr>
        <i/>
        <sz val="12"/>
        <rFont val="宋体"/>
        <charset val="134"/>
      </rPr>
      <t>各离子</t>
    </r>
    <r>
      <rPr>
        <b/>
        <sz val="12"/>
        <rFont val="宋体"/>
        <charset val="134"/>
      </rPr>
      <t>测量值</t>
    </r>
    <r>
      <rPr>
        <sz val="12"/>
        <rFont val="宋体"/>
        <charset val="134"/>
      </rPr>
      <t>。</t>
    </r>
  </si>
  <si>
    <t>铜离子</t>
  </si>
  <si>
    <t>硝酸根离子</t>
  </si>
  <si>
    <t>Na+</t>
  </si>
  <si>
    <t>SO42-</t>
  </si>
  <si>
    <t>锌离子</t>
  </si>
  <si>
    <t>亚硝酸根</t>
  </si>
  <si>
    <t>K+</t>
  </si>
  <si>
    <t>Cl-</t>
  </si>
  <si>
    <t>铅离子</t>
  </si>
  <si>
    <t>亚硫酸根</t>
  </si>
  <si>
    <t>Ca2+</t>
  </si>
  <si>
    <t>HCO3-</t>
  </si>
  <si>
    <t>镉离子</t>
  </si>
  <si>
    <t>氢氧根离子</t>
  </si>
  <si>
    <t>Mg2+</t>
  </si>
  <si>
    <t>CO32-</t>
  </si>
  <si>
    <t>二价铁</t>
  </si>
  <si>
    <t>NH4+</t>
  </si>
  <si>
    <t>SiO32-</t>
  </si>
  <si>
    <t>氢离子</t>
  </si>
  <si>
    <t>Fe3+</t>
  </si>
  <si>
    <t>NO3-</t>
  </si>
  <si>
    <t>Mn2+</t>
  </si>
  <si>
    <t>F-</t>
  </si>
  <si>
    <t>阳离子总和
（mmol/L）</t>
  </si>
  <si>
    <t>阴离子总和
（mmol/L）</t>
  </si>
  <si>
    <t>总硬度</t>
  </si>
  <si>
    <t>阴阳离子误差</t>
  </si>
  <si>
    <t>≤±10%</t>
  </si>
  <si>
    <t>总硬度测定值
（mg/L）</t>
  </si>
  <si>
    <t>总硬度计算值（mg/L）</t>
  </si>
  <si>
    <t>总硬度误差</t>
  </si>
  <si>
    <t>沉淀溶解平衡计算值</t>
  </si>
  <si>
    <t>沉淀溶解平衡标准值</t>
  </si>
  <si>
    <t>溶解性总固体测定值（mg/L）</t>
  </si>
  <si>
    <t>溶解性总固体计算值（mg/L）</t>
  </si>
  <si>
    <t>相对误差（%）</t>
  </si>
  <si>
    <t>限值</t>
  </si>
  <si>
    <t>水中化学平衡-02</t>
  </si>
  <si>
    <t>水中化学平衡-03</t>
  </si>
  <si>
    <t>水中化学平衡-04</t>
  </si>
  <si>
    <t>日常噪声</t>
  </si>
  <si>
    <r>
      <rPr>
        <b/>
        <sz val="9"/>
        <color rgb="FF595959"/>
        <rFont val="Times New Roman"/>
        <charset val="134"/>
      </rPr>
      <t>24h</t>
    </r>
    <r>
      <rPr>
        <b/>
        <sz val="9"/>
        <color rgb="FF595959"/>
        <rFont val="宋体"/>
        <charset val="134"/>
      </rPr>
      <t>噪声</t>
    </r>
  </si>
  <si>
    <r>
      <rPr>
        <b/>
        <sz val="9"/>
        <color rgb="FF595959"/>
        <rFont val="宋体"/>
        <charset val="134"/>
      </rPr>
      <t>规律</t>
    </r>
  </si>
  <si>
    <t>LEPN</t>
  </si>
  <si>
    <t>10^(LEPN/10)</t>
  </si>
  <si>
    <t>10^(LAmax/10)</t>
  </si>
  <si>
    <t>∑（i，1-n）</t>
  </si>
  <si>
    <r>
      <rPr>
        <b/>
        <strike/>
        <sz val="11"/>
        <color theme="1"/>
        <rFont val="Times New Roman"/>
        <charset val="134"/>
      </rPr>
      <t>¯</t>
    </r>
    <r>
      <rPr>
        <b/>
        <strike/>
        <sz val="11"/>
        <color theme="1"/>
        <rFont val="宋体"/>
        <charset val="134"/>
        <scheme val="minor"/>
      </rPr>
      <t>LEPN</t>
    </r>
  </si>
  <si>
    <r>
      <rPr>
        <b/>
        <sz val="11"/>
        <color theme="1"/>
        <rFont val="Times New Roman"/>
        <charset val="134"/>
      </rPr>
      <t>¯</t>
    </r>
    <r>
      <rPr>
        <b/>
        <sz val="11"/>
        <color theme="1"/>
        <rFont val="宋体"/>
        <charset val="134"/>
        <scheme val="minor"/>
      </rPr>
      <t>LAeq</t>
    </r>
  </si>
  <si>
    <t>LWECPN</t>
  </si>
  <si>
    <r>
      <rPr>
        <b/>
        <sz val="8"/>
        <rFont val="Times New Roman"/>
        <charset val="134"/>
      </rPr>
      <t>SO2</t>
    </r>
    <r>
      <rPr>
        <b/>
        <sz val="8"/>
        <rFont val="宋体"/>
        <charset val="134"/>
      </rPr>
      <t>实测</t>
    </r>
  </si>
  <si>
    <r>
      <rPr>
        <b/>
        <sz val="8"/>
        <rFont val="Times New Roman"/>
        <charset val="134"/>
      </rPr>
      <t>SO2</t>
    </r>
    <r>
      <rPr>
        <b/>
        <sz val="8"/>
        <rFont val="宋体"/>
        <charset val="134"/>
      </rPr>
      <t>在线</t>
    </r>
  </si>
  <si>
    <r>
      <rPr>
        <b/>
        <sz val="8"/>
        <rFont val="Times New Roman"/>
        <charset val="134"/>
      </rPr>
      <t>N02</t>
    </r>
    <r>
      <rPr>
        <b/>
        <sz val="8"/>
        <rFont val="宋体"/>
        <charset val="134"/>
      </rPr>
      <t>实测</t>
    </r>
  </si>
  <si>
    <r>
      <rPr>
        <b/>
        <sz val="8"/>
        <rFont val="Times New Roman"/>
        <charset val="134"/>
      </rPr>
      <t>NO2</t>
    </r>
    <r>
      <rPr>
        <b/>
        <sz val="8"/>
        <rFont val="宋体"/>
        <charset val="134"/>
      </rPr>
      <t>在线</t>
    </r>
  </si>
  <si>
    <r>
      <rPr>
        <b/>
        <sz val="8"/>
        <rFont val="Times New Roman"/>
        <charset val="134"/>
      </rPr>
      <t>O2</t>
    </r>
    <r>
      <rPr>
        <b/>
        <sz val="8"/>
        <rFont val="宋体"/>
        <charset val="134"/>
      </rPr>
      <t>实测</t>
    </r>
  </si>
  <si>
    <r>
      <rPr>
        <b/>
        <sz val="8"/>
        <rFont val="Times New Roman"/>
        <charset val="134"/>
      </rPr>
      <t>O2</t>
    </r>
    <r>
      <rPr>
        <b/>
        <sz val="8"/>
        <rFont val="宋体"/>
        <charset val="134"/>
      </rPr>
      <t>在线</t>
    </r>
  </si>
  <si>
    <r>
      <rPr>
        <b/>
        <sz val="8"/>
        <rFont val="Times New Roman"/>
        <charset val="134"/>
      </rPr>
      <t>SO2</t>
    </r>
    <r>
      <rPr>
        <b/>
        <sz val="8"/>
        <rFont val="宋体"/>
        <charset val="134"/>
      </rPr>
      <t>实测</t>
    </r>
    <r>
      <rPr>
        <b/>
        <sz val="8"/>
        <rFont val="Times New Roman"/>
        <charset val="134"/>
      </rPr>
      <t>-</t>
    </r>
    <r>
      <rPr>
        <b/>
        <sz val="8"/>
        <rFont val="宋体"/>
        <charset val="134"/>
      </rPr>
      <t>折算后</t>
    </r>
  </si>
  <si>
    <r>
      <rPr>
        <b/>
        <sz val="8"/>
        <rFont val="Times New Roman"/>
        <charset val="134"/>
      </rPr>
      <t>SO2</t>
    </r>
    <r>
      <rPr>
        <b/>
        <sz val="8"/>
        <rFont val="宋体"/>
        <charset val="134"/>
      </rPr>
      <t>在线</t>
    </r>
    <r>
      <rPr>
        <b/>
        <sz val="8"/>
        <rFont val="Times New Roman"/>
        <charset val="134"/>
      </rPr>
      <t>-</t>
    </r>
    <r>
      <rPr>
        <b/>
        <sz val="8"/>
        <rFont val="宋体"/>
        <charset val="134"/>
      </rPr>
      <t>折算后</t>
    </r>
  </si>
  <si>
    <r>
      <rPr>
        <b/>
        <sz val="8"/>
        <rFont val="Times New Roman"/>
        <charset val="134"/>
      </rPr>
      <t>N02</t>
    </r>
    <r>
      <rPr>
        <b/>
        <sz val="8"/>
        <rFont val="宋体"/>
        <charset val="134"/>
      </rPr>
      <t>实测</t>
    </r>
    <r>
      <rPr>
        <b/>
        <sz val="8"/>
        <rFont val="Times New Roman"/>
        <charset val="134"/>
      </rPr>
      <t>-</t>
    </r>
    <r>
      <rPr>
        <b/>
        <sz val="8"/>
        <rFont val="宋体"/>
        <charset val="134"/>
      </rPr>
      <t>折算后</t>
    </r>
  </si>
  <si>
    <r>
      <rPr>
        <b/>
        <sz val="8"/>
        <rFont val="Times New Roman"/>
        <charset val="134"/>
      </rPr>
      <t>NO2</t>
    </r>
    <r>
      <rPr>
        <b/>
        <sz val="8"/>
        <rFont val="宋体"/>
        <charset val="134"/>
      </rPr>
      <t>在线</t>
    </r>
    <r>
      <rPr>
        <b/>
        <sz val="8"/>
        <rFont val="Times New Roman"/>
        <charset val="134"/>
      </rPr>
      <t>-</t>
    </r>
    <r>
      <rPr>
        <b/>
        <sz val="8"/>
        <rFont val="宋体"/>
        <charset val="134"/>
      </rPr>
      <t>折算后</t>
    </r>
  </si>
  <si>
    <t>平行样</t>
  </si>
  <si>
    <t>NMHC计算表</t>
  </si>
  <si>
    <t>曲线校核点</t>
  </si>
  <si>
    <t>相对偏差</t>
  </si>
  <si>
    <t>样品
测定值</t>
  </si>
  <si>
    <t>加标样品
测定值</t>
  </si>
  <si>
    <t>加标
含量</t>
  </si>
  <si>
    <t>加标回收率</t>
  </si>
  <si>
    <r>
      <rPr>
        <b/>
        <sz val="11"/>
        <color theme="1"/>
        <rFont val="宋体"/>
        <charset val="134"/>
      </rPr>
      <t>标况计算（环境）</t>
    </r>
  </si>
  <si>
    <t>V</t>
  </si>
  <si>
    <t>P</t>
  </si>
  <si>
    <t>T</t>
  </si>
  <si>
    <t>P0</t>
  </si>
  <si>
    <t>Vnd</t>
  </si>
  <si>
    <t>Vr</t>
  </si>
  <si>
    <t>标况计算（职业卫生）</t>
  </si>
  <si>
    <r>
      <rPr>
        <b/>
        <sz val="12"/>
        <color rgb="FF595959"/>
        <rFont val="宋体"/>
        <charset val="134"/>
      </rPr>
      <t>＜</t>
    </r>
    <r>
      <rPr>
        <b/>
        <sz val="12"/>
        <color rgb="FF595959"/>
        <rFont val="Times New Roman"/>
        <charset val="134"/>
      </rPr>
      <t>5</t>
    </r>
    <r>
      <rPr>
        <b/>
        <sz val="12"/>
        <color rgb="FF595959"/>
        <rFont val="宋体"/>
        <charset val="134"/>
      </rPr>
      <t>；＞</t>
    </r>
    <r>
      <rPr>
        <b/>
        <sz val="12"/>
        <color rgb="FF595959"/>
        <rFont val="Times New Roman"/>
        <charset val="134"/>
      </rPr>
      <t>35</t>
    </r>
  </si>
  <si>
    <r>
      <rPr>
        <b/>
        <sz val="12"/>
        <color rgb="FF595959"/>
        <rFont val="宋体"/>
        <charset val="134"/>
      </rPr>
      <t>＜</t>
    </r>
    <r>
      <rPr>
        <b/>
        <sz val="12"/>
        <color rgb="FF595959"/>
        <rFont val="Times New Roman"/>
        <charset val="134"/>
      </rPr>
      <t>98.8</t>
    </r>
    <r>
      <rPr>
        <b/>
        <sz val="12"/>
        <color rgb="FF595959"/>
        <rFont val="宋体"/>
        <charset val="134"/>
      </rPr>
      <t>，＞</t>
    </r>
    <r>
      <rPr>
        <b/>
        <sz val="12"/>
        <color rgb="FF595959"/>
        <rFont val="Times New Roman"/>
        <charset val="134"/>
      </rPr>
      <t>103.4</t>
    </r>
  </si>
  <si>
    <t xml:space="preserve"> 项目名称 </t>
  </si>
  <si>
    <r>
      <rPr>
        <sz val="11"/>
        <color rgb="FF191F25"/>
        <rFont val="-apple-system"/>
        <charset val="134"/>
      </rPr>
      <t xml:space="preserve"> </t>
    </r>
    <r>
      <rPr>
        <sz val="11"/>
        <color rgb="FF191F25"/>
        <rFont val="宋体"/>
        <charset val="134"/>
      </rPr>
      <t>标气浓度（</t>
    </r>
    <r>
      <rPr>
        <sz val="11"/>
        <color rgb="FF191F25"/>
        <rFont val="-apple-system"/>
        <charset val="134"/>
      </rPr>
      <t>mg/m3</t>
    </r>
    <r>
      <rPr>
        <sz val="11"/>
        <color rgb="FF191F25"/>
        <rFont val="宋体"/>
        <charset val="134"/>
      </rPr>
      <t>）</t>
    </r>
    <r>
      <rPr>
        <sz val="11"/>
        <color rgb="FF191F25"/>
        <rFont val="-apple-system"/>
        <charset val="134"/>
      </rPr>
      <t xml:space="preserve"> </t>
    </r>
  </si>
  <si>
    <t xml:space="preserve"> CEMS检测结果 </t>
  </si>
  <si>
    <t xml:space="preserve"> 计算误差 </t>
  </si>
  <si>
    <t xml:space="preserve"> 执行标准 </t>
  </si>
  <si>
    <t xml:space="preserve"> 是否合格 </t>
  </si>
  <si>
    <t>氮氧化物的满量程</t>
  </si>
  <si>
    <t xml:space="preserve"> 氮氧化物 </t>
  </si>
  <si>
    <t xml:space="preserve"> 示值误差 </t>
  </si>
  <si>
    <t xml:space="preserve"> ±2.5% </t>
  </si>
  <si>
    <t>二氧化硫 的满量程</t>
  </si>
  <si>
    <r>
      <rPr>
        <strike/>
        <sz val="11"/>
        <color rgb="FF191F25"/>
        <rFont val="-apple-system"/>
        <charset val="134"/>
      </rPr>
      <t xml:space="preserve"> </t>
    </r>
    <r>
      <rPr>
        <strike/>
        <sz val="11"/>
        <color rgb="FF191F25"/>
        <rFont val="宋体"/>
        <charset val="134"/>
      </rPr>
      <t>量程漂移</t>
    </r>
    <r>
      <rPr>
        <strike/>
        <sz val="11"/>
        <color rgb="FF191F25"/>
        <rFont val="-apple-system"/>
        <charset val="134"/>
      </rPr>
      <t xml:space="preserve"> </t>
    </r>
  </si>
  <si>
    <t>含氧量的满量程</t>
  </si>
  <si>
    <r>
      <rPr>
        <strike/>
        <sz val="11"/>
        <color rgb="FF191F25"/>
        <rFont val="-apple-system"/>
        <charset val="134"/>
      </rPr>
      <t xml:space="preserve"> </t>
    </r>
    <r>
      <rPr>
        <strike/>
        <sz val="11"/>
        <color rgb="FF191F25"/>
        <rFont val="宋体"/>
        <charset val="134"/>
      </rPr>
      <t>零点漂移</t>
    </r>
    <r>
      <rPr>
        <strike/>
        <sz val="11"/>
        <color rgb="FF191F25"/>
        <rFont val="-apple-system"/>
        <charset val="134"/>
      </rPr>
      <t xml:space="preserve"> </t>
    </r>
  </si>
  <si>
    <r>
      <rPr>
        <strike/>
        <sz val="11"/>
        <color rgb="FF191F25"/>
        <rFont val="-apple-system"/>
        <charset val="134"/>
      </rPr>
      <t xml:space="preserve"> </t>
    </r>
    <r>
      <rPr>
        <strike/>
        <sz val="11"/>
        <color rgb="FF191F25"/>
        <rFont val="宋体"/>
        <charset val="134"/>
      </rPr>
      <t>系统响应时间</t>
    </r>
    <r>
      <rPr>
        <strike/>
        <sz val="11"/>
        <color rgb="FF191F25"/>
        <rFont val="-apple-system"/>
        <charset val="134"/>
      </rPr>
      <t xml:space="preserve"> </t>
    </r>
  </si>
  <si>
    <t xml:space="preserve"> / </t>
  </si>
  <si>
    <t xml:space="preserve"> 46s </t>
  </si>
  <si>
    <t xml:space="preserve"> ≤200s </t>
  </si>
  <si>
    <t xml:space="preserve"> 二氧化硫 </t>
  </si>
  <si>
    <r>
      <rPr>
        <strike/>
        <sz val="11"/>
        <color rgb="FF191F25"/>
        <rFont val="-apple-system"/>
        <charset val="134"/>
      </rPr>
      <t xml:space="preserve"> </t>
    </r>
    <r>
      <rPr>
        <strike/>
        <sz val="11"/>
        <color rgb="FF191F25"/>
        <rFont val="宋体"/>
        <charset val="134"/>
      </rPr>
      <t>示值误差</t>
    </r>
    <r>
      <rPr>
        <strike/>
        <sz val="11"/>
        <color rgb="FF191F25"/>
        <rFont val="-apple-system"/>
        <charset val="134"/>
      </rPr>
      <t xml:space="preserve"> </t>
    </r>
  </si>
  <si>
    <t xml:space="preserve"> ±5% </t>
  </si>
  <si>
    <t xml:space="preserve"> 73s </t>
  </si>
  <si>
    <t xml:space="preserve"> 含氧量 </t>
  </si>
  <si>
    <t xml:space="preserve"> 53s 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</si>
</sst>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_ "/>
    <numFmt numFmtId="179" formatCode="0.00_ "/>
    <numFmt numFmtId="180" formatCode="0.0000000_ "/>
    <numFmt numFmtId="181" formatCode="000000"/>
    <numFmt numFmtId="182" formatCode="0.00000_ "/>
  </numFmts>
  <fonts count="185">
    <font>
      <sz val="9"/>
      <color rgb="FF595959"/>
      <name val="Helvetica Neue For Number"/>
      <charset val="134"/>
    </font>
    <font>
      <sz val="11"/>
      <color rgb="FF191F25"/>
      <name val="-apple-system"/>
      <charset val="134"/>
    </font>
    <font>
      <sz val="12"/>
      <color rgb="FF595959"/>
      <name val="Times New Roman"/>
      <charset val="134"/>
    </font>
    <font>
      <strike/>
      <sz val="11"/>
      <color rgb="FF191F25"/>
      <name val="-apple-system"/>
      <charset val="134"/>
    </font>
    <font>
      <sz val="18"/>
      <color rgb="FF595959"/>
      <name val="黑体"/>
      <charset val="134"/>
    </font>
    <font>
      <sz val="18"/>
      <color rgb="FF595959"/>
      <name val="Times New Roman"/>
      <charset val="134"/>
    </font>
    <font>
      <b/>
      <sz val="16"/>
      <color rgb="FF595959"/>
      <name val="宋体"/>
      <charset val="134"/>
    </font>
    <font>
      <b/>
      <sz val="11"/>
      <color theme="1"/>
      <name val="宋体"/>
      <charset val="134"/>
      <scheme val="minor"/>
    </font>
    <font>
      <i/>
      <sz val="14"/>
      <color rgb="FF595959"/>
      <name val="Times New Roman"/>
      <charset val="134"/>
    </font>
    <font>
      <b/>
      <sz val="14"/>
      <color rgb="FF595959"/>
      <name val="Times New Roman"/>
      <charset val="134"/>
    </font>
    <font>
      <sz val="11"/>
      <color theme="1"/>
      <name val="Times New Roman"/>
      <charset val="134"/>
    </font>
    <font>
      <b/>
      <sz val="18"/>
      <color rgb="FF595959"/>
      <name val="黑体"/>
      <charset val="134"/>
    </font>
    <font>
      <b/>
      <sz val="14"/>
      <color rgb="FF595959"/>
      <name val="宋体"/>
      <charset val="134"/>
    </font>
    <font>
      <i/>
      <sz val="12"/>
      <color rgb="FF595959"/>
      <name val="Times New Roman"/>
      <charset val="134"/>
    </font>
    <font>
      <b/>
      <sz val="12"/>
      <color rgb="FF595959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i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9"/>
      <color rgb="FF595959"/>
      <name val="Helvetica Neue For Number"/>
      <charset val="134"/>
    </font>
    <font>
      <b/>
      <sz val="9"/>
      <color rgb="FF595959"/>
      <name val="宋体"/>
      <charset val="134"/>
    </font>
    <font>
      <sz val="9"/>
      <color rgb="FF595959"/>
      <name val="楷体"/>
      <charset val="134"/>
    </font>
    <font>
      <b/>
      <sz val="9"/>
      <color rgb="FF595959"/>
      <name val="楷体"/>
      <charset val="134"/>
    </font>
    <font>
      <b/>
      <sz val="9"/>
      <color rgb="FF595959"/>
      <name val="Times New Roman"/>
      <charset val="134"/>
    </font>
    <font>
      <sz val="12"/>
      <color rgb="FF000000"/>
      <name val="Times New Roman"/>
      <charset val="134"/>
    </font>
    <font>
      <b/>
      <strike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trike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b/>
      <strike/>
      <sz val="11"/>
      <color theme="1"/>
      <name val="Times New Roman"/>
      <charset val="134"/>
    </font>
    <font>
      <b/>
      <sz val="8"/>
      <name val="Times New Roman"/>
      <charset val="134"/>
    </font>
    <font>
      <sz val="9"/>
      <color rgb="FF595959"/>
      <name val="Times New Roman"/>
      <charset val="134"/>
    </font>
    <font>
      <b/>
      <sz val="10"/>
      <color rgb="FF595959"/>
      <name val="Times New Roman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b/>
      <sz val="12"/>
      <name val="Times New Roman"/>
      <charset val="0"/>
    </font>
    <font>
      <sz val="12"/>
      <name val="宋体"/>
      <charset val="134"/>
    </font>
    <font>
      <b/>
      <sz val="12"/>
      <name val="宋体"/>
      <charset val="0"/>
    </font>
    <font>
      <b/>
      <sz val="11"/>
      <color rgb="FF595959"/>
      <name val="Helvetica Neue For Number"/>
      <charset val="134"/>
    </font>
    <font>
      <sz val="16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Times New Roman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9"/>
      <color rgb="FF595959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仿宋_GB2312"/>
      <charset val="134"/>
    </font>
    <font>
      <b/>
      <sz val="11"/>
      <color theme="1"/>
      <name val="仿宋_GB2312"/>
      <charset val="134"/>
    </font>
    <font>
      <b/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sz val="16"/>
      <color rgb="FF595959"/>
      <name val="Times New Roman"/>
      <charset val="134"/>
    </font>
    <font>
      <b/>
      <sz val="9"/>
      <color rgb="FF000000"/>
      <name val="等线"/>
      <charset val="134"/>
    </font>
    <font>
      <sz val="12"/>
      <color rgb="FF000000"/>
      <name val="仿宋"/>
      <charset val="134"/>
    </font>
    <font>
      <i/>
      <sz val="9"/>
      <color rgb="FF595959"/>
      <name val="Helvetica Neue For Number"/>
      <charset val="134"/>
    </font>
    <font>
      <i/>
      <sz val="12"/>
      <color rgb="FF000000"/>
      <name val="Times New Roman"/>
      <charset val="134"/>
    </font>
    <font>
      <i/>
      <sz val="12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0"/>
      <color rgb="FF595959"/>
      <name val="宋体"/>
      <charset val="134"/>
    </font>
    <font>
      <b/>
      <i/>
      <sz val="10"/>
      <color rgb="FF595959"/>
      <name val="宋体"/>
      <charset val="134"/>
    </font>
    <font>
      <b/>
      <i/>
      <sz val="10"/>
      <color rgb="FF595959"/>
      <name val="Times New Roman"/>
      <charset val="134"/>
    </font>
    <font>
      <b/>
      <sz val="10"/>
      <color rgb="FF000000"/>
      <name val="宋体"/>
      <charset val="134"/>
      <scheme val="major"/>
    </font>
    <font>
      <b/>
      <sz val="10"/>
      <color rgb="FF595959"/>
      <name val="宋体"/>
      <charset val="134"/>
      <scheme val="major"/>
    </font>
    <font>
      <b/>
      <sz val="12"/>
      <color rgb="FF595959"/>
      <name val="Times New Roman"/>
      <charset val="134"/>
    </font>
    <font>
      <b/>
      <sz val="16"/>
      <color rgb="FF595959"/>
      <name val="Times New Roman"/>
      <charset val="134"/>
    </font>
    <font>
      <b/>
      <sz val="14"/>
      <color rgb="FF000000"/>
      <name val="仿宋_GB2312"/>
      <charset val="134"/>
    </font>
    <font>
      <b/>
      <sz val="12"/>
      <color rgb="FF000000"/>
      <name val="仿宋_GB2312"/>
      <charset val="134"/>
    </font>
    <font>
      <b/>
      <sz val="12"/>
      <color theme="1"/>
      <name val="仿宋_GB2312"/>
      <charset val="134"/>
    </font>
    <font>
      <sz val="12"/>
      <color theme="1"/>
      <name val="宋体"/>
      <charset val="134"/>
    </font>
    <font>
      <sz val="12"/>
      <color rgb="FFFF0000"/>
      <name val="Times New Roman"/>
      <charset val="134"/>
    </font>
    <font>
      <sz val="11"/>
      <color rgb="FFFF0000"/>
      <name val="宋体"/>
      <charset val="134"/>
      <scheme val="minor"/>
    </font>
    <font>
      <sz val="12"/>
      <color theme="1"/>
      <name val="仿宋_GB2312"/>
      <charset val="134"/>
    </font>
    <font>
      <sz val="10"/>
      <color rgb="FF595959"/>
      <name val="Helvetica Neue For Number"/>
      <charset val="134"/>
    </font>
    <font>
      <b/>
      <sz val="11"/>
      <color rgb="FF191F25"/>
      <name val="-apple-system"/>
      <charset val="134"/>
    </font>
    <font>
      <sz val="10"/>
      <color rgb="FF191F25"/>
      <name val="Times New Roman"/>
      <charset val="134"/>
    </font>
    <font>
      <i/>
      <sz val="10"/>
      <color rgb="FF595959"/>
      <name val="Times New Roman"/>
      <charset val="134"/>
    </font>
    <font>
      <b/>
      <u/>
      <sz val="10"/>
      <color rgb="FF191F25"/>
      <name val="Times New Roman"/>
      <charset val="134"/>
    </font>
    <font>
      <i/>
      <sz val="10"/>
      <color rgb="FF191F25"/>
      <name val="Times New Roman"/>
      <charset val="134"/>
    </font>
    <font>
      <sz val="10"/>
      <color rgb="FF191F25"/>
      <name val="-apple-system"/>
      <charset val="134"/>
    </font>
    <font>
      <sz val="10"/>
      <color rgb="FF191F25"/>
      <name val="宋体"/>
      <charset val="134"/>
    </font>
    <font>
      <sz val="8"/>
      <color rgb="FF191F25"/>
      <name val="宋体"/>
      <charset val="134"/>
    </font>
    <font>
      <sz val="8"/>
      <color rgb="FF191F25"/>
      <name val="Times New Roman"/>
      <charset val="134"/>
    </font>
    <font>
      <sz val="11"/>
      <color rgb="FF191F25"/>
      <name val="宋体"/>
      <charset val="134"/>
    </font>
    <font>
      <u/>
      <sz val="8"/>
      <color rgb="FF191F25"/>
      <name val="-apple-system"/>
      <charset val="134"/>
    </font>
    <font>
      <sz val="8"/>
      <color rgb="FF191F25"/>
      <name val="-apple-system"/>
      <charset val="134"/>
    </font>
    <font>
      <b/>
      <sz val="10"/>
      <color theme="1"/>
      <name val="Times New Roman"/>
      <charset val="134"/>
    </font>
    <font>
      <b/>
      <i/>
      <sz val="10"/>
      <color theme="1"/>
      <name val="Times New Roman"/>
      <charset val="134"/>
    </font>
    <font>
      <sz val="12"/>
      <color rgb="FF595959"/>
      <name val="宋体"/>
      <charset val="134"/>
    </font>
    <font>
      <sz val="11"/>
      <color theme="1"/>
      <name val="宋体"/>
      <charset val="134"/>
    </font>
    <font>
      <i/>
      <sz val="11"/>
      <color rgb="FF595959"/>
      <name val="Times New Roman"/>
      <charset val="134"/>
    </font>
    <font>
      <i/>
      <sz val="11"/>
      <color rgb="FF000000"/>
      <name val="Times New Roman"/>
      <charset val="134"/>
    </font>
    <font>
      <b/>
      <sz val="10"/>
      <name val="宋体"/>
      <charset val="134"/>
    </font>
    <font>
      <b/>
      <sz val="10"/>
      <name val="Times New Roman"/>
      <charset val="134"/>
    </font>
    <font>
      <b/>
      <sz val="9"/>
      <name val="Times New Roman"/>
      <charset val="134"/>
    </font>
    <font>
      <b/>
      <sz val="9"/>
      <name val="宋体"/>
      <charset val="134"/>
    </font>
    <font>
      <sz val="14"/>
      <color rgb="FF595959"/>
      <name val="宋体"/>
      <charset val="134"/>
    </font>
    <font>
      <sz val="14"/>
      <color rgb="FF595959"/>
      <name val="Helvetica Neue For Number"/>
      <charset val="134"/>
    </font>
    <font>
      <i/>
      <sz val="14"/>
      <color rgb="FF000000"/>
      <name val="Times New Roman"/>
      <charset val="134"/>
    </font>
    <font>
      <b/>
      <sz val="8"/>
      <color rgb="FF000000"/>
      <name val="宋体"/>
      <charset val="134"/>
    </font>
    <font>
      <sz val="10"/>
      <color indexed="8"/>
      <name val="Times New Roman"/>
      <charset val="0"/>
    </font>
    <font>
      <sz val="10"/>
      <name val="Times New Roman"/>
      <charset val="134"/>
    </font>
    <font>
      <b/>
      <sz val="8"/>
      <color indexed="8"/>
      <name val="Times New Roman"/>
      <charset val="0"/>
    </font>
    <font>
      <sz val="10"/>
      <color rgb="FF000000"/>
      <name val="宋体"/>
      <charset val="0"/>
    </font>
    <font>
      <sz val="10"/>
      <color indexed="8"/>
      <name val="宋体"/>
      <charset val="134"/>
    </font>
    <font>
      <sz val="10"/>
      <color indexed="8"/>
      <name val="Times New Roman"/>
      <charset val="134"/>
    </font>
    <font>
      <i/>
      <sz val="10"/>
      <color theme="1"/>
      <name val="Times New Roman"/>
      <charset val="134"/>
    </font>
    <font>
      <sz val="10"/>
      <color theme="1"/>
      <name val="Times New Roman"/>
      <charset val="134"/>
    </font>
    <font>
      <strike/>
      <sz val="10"/>
      <name val="Times New Roman"/>
      <charset val="134"/>
    </font>
    <font>
      <b/>
      <sz val="6"/>
      <name val="Times New Roman"/>
      <charset val="134"/>
    </font>
    <font>
      <b/>
      <sz val="6"/>
      <name val="宋体"/>
      <charset val="134"/>
    </font>
    <font>
      <b/>
      <strike/>
      <sz val="6"/>
      <name val="Times New Roman"/>
      <charset val="134"/>
    </font>
    <font>
      <b/>
      <sz val="10"/>
      <color rgb="FF000000"/>
      <name val="Times New Roman"/>
      <charset val="134"/>
    </font>
    <font>
      <sz val="9"/>
      <name val="宋体"/>
      <charset val="134"/>
    </font>
    <font>
      <sz val="9"/>
      <name val="Times New Roman"/>
      <charset val="134"/>
    </font>
    <font>
      <b/>
      <sz val="10"/>
      <color indexed="8"/>
      <name val="Times New Roman"/>
      <charset val="0"/>
    </font>
    <font>
      <sz val="10"/>
      <color rgb="FF000000"/>
      <name val="Times New Roman"/>
      <charset val="0"/>
    </font>
    <font>
      <i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6"/>
      <color rgb="FF000000"/>
      <name val="宋体"/>
      <charset val="134"/>
    </font>
    <font>
      <sz val="8"/>
      <color rgb="FF000000"/>
      <name val="宋体"/>
      <charset val="134"/>
    </font>
    <font>
      <sz val="9"/>
      <color rgb="FF000000"/>
      <name val="宋体"/>
      <charset val="134"/>
    </font>
    <font>
      <i/>
      <sz val="10"/>
      <name val="Times New Roman"/>
      <charset val="134"/>
    </font>
    <font>
      <sz val="14"/>
      <color rgb="FF595959"/>
      <name val="Times New Roman"/>
      <charset val="134"/>
    </font>
    <font>
      <sz val="6"/>
      <color rgb="FF000000"/>
      <name val="Times New Roman"/>
      <charset val="134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rgb="FF000000"/>
      <name val="Times New Roman"/>
      <charset val="134"/>
    </font>
    <font>
      <i/>
      <sz val="14"/>
      <color theme="1"/>
      <name val="宋体"/>
      <charset val="134"/>
      <scheme val="minor"/>
    </font>
    <font>
      <b/>
      <sz val="14"/>
      <name val="宋体"/>
      <charset val="134"/>
    </font>
    <font>
      <i/>
      <sz val="14"/>
      <color rgb="FF595959"/>
      <name val="Helvetica Neue For Number"/>
      <charset val="134"/>
    </font>
    <font>
      <sz val="11"/>
      <color rgb="FF595959"/>
      <name val="Helvetica Neue For Number"/>
      <charset val="134"/>
    </font>
    <font>
      <sz val="9"/>
      <color rgb="FFC10002"/>
      <name val="Helvetica Neue For Number"/>
      <charset val="134"/>
    </font>
    <font>
      <b/>
      <sz val="11"/>
      <name val="Calibri"/>
      <charset val="134"/>
    </font>
    <font>
      <sz val="11"/>
      <name val="Helvetica Neue For Number"/>
      <charset val="134"/>
    </font>
    <font>
      <sz val="11"/>
      <color rgb="FF191F25"/>
      <name val="Helvetica Neue For Number"/>
      <charset val="134"/>
    </font>
    <font>
      <sz val="11"/>
      <color rgb="FF000000"/>
      <name val="Helvetica Neue For Number"/>
      <charset val="134"/>
    </font>
    <font>
      <sz val="11"/>
      <color rgb="FFC10002"/>
      <name val="Helvetica Neue For Number"/>
      <charset val="134"/>
    </font>
    <font>
      <sz val="11"/>
      <color rgb="FFC1000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trike/>
      <sz val="11"/>
      <color rgb="FF191F25"/>
      <name val="宋体"/>
      <charset val="134"/>
    </font>
    <font>
      <b/>
      <sz val="11"/>
      <color theme="1"/>
      <name val="宋体"/>
      <charset val="134"/>
    </font>
    <font>
      <b/>
      <sz val="8"/>
      <name val="宋体"/>
      <charset val="134"/>
    </font>
    <font>
      <i/>
      <sz val="12"/>
      <name val="宋体"/>
      <charset val="134"/>
    </font>
    <font>
      <b/>
      <vertAlign val="subscript"/>
      <sz val="12"/>
      <color theme="1"/>
      <name val="Times New Roman"/>
      <charset val="134"/>
    </font>
    <font>
      <b/>
      <vertAlign val="subscript"/>
      <sz val="12"/>
      <color theme="1"/>
      <name val="仿宋_GB2312"/>
      <charset val="134"/>
    </font>
    <font>
      <b/>
      <sz val="14"/>
      <color rgb="FF000000"/>
      <name val="宋体"/>
      <charset val="134"/>
    </font>
    <font>
      <b/>
      <sz val="14"/>
      <color rgb="FF000000"/>
      <name val="Times New Roman"/>
      <charset val="134"/>
    </font>
    <font>
      <b/>
      <sz val="11"/>
      <color rgb="FF191F25"/>
      <name val="宋体"/>
      <charset val="134"/>
    </font>
    <font>
      <b/>
      <sz val="10"/>
      <color theme="1"/>
      <name val="宋体"/>
      <charset val="134"/>
    </font>
    <font>
      <b/>
      <vertAlign val="superscript"/>
      <sz val="10"/>
      <color theme="1"/>
      <name val="Times New Roman"/>
      <charset val="134"/>
    </font>
    <font>
      <b/>
      <u/>
      <sz val="10"/>
      <color rgb="FF191F25"/>
      <name val="宋体"/>
      <charset val="134"/>
    </font>
    <font>
      <b/>
      <sz val="8"/>
      <color rgb="FF191F25"/>
      <name val="宋体"/>
      <charset val="134"/>
    </font>
    <font>
      <b/>
      <sz val="8"/>
      <color rgb="FF191F25"/>
      <name val="Times New Roman"/>
      <charset val="134"/>
    </font>
    <font>
      <b/>
      <u/>
      <sz val="8"/>
      <color rgb="FF191F25"/>
      <name val="Times New Roman"/>
      <charset val="134"/>
    </font>
    <font>
      <b/>
      <u/>
      <sz val="8"/>
      <color rgb="FF191F25"/>
      <name val="宋体"/>
      <charset val="134"/>
    </font>
    <font>
      <vertAlign val="superscript"/>
      <sz val="11"/>
      <color theme="1"/>
      <name val="Times New Roman"/>
      <charset val="134"/>
    </font>
    <font>
      <b/>
      <sz val="8"/>
      <color rgb="FF000000"/>
      <name val="Times New Roman"/>
      <charset val="134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i/>
      <sz val="8"/>
      <color rgb="FF000000"/>
      <name val="Times New Roman"/>
      <charset val="134"/>
    </font>
    <font>
      <i/>
      <sz val="8"/>
      <color rgb="FF000000"/>
      <name val="宋体"/>
      <charset val="134"/>
    </font>
    <font>
      <sz val="8"/>
      <color rgb="FF000000"/>
      <name val="Times New Roman"/>
      <charset val="134"/>
    </font>
    <font>
      <sz val="9"/>
      <color rgb="FF000000"/>
      <name val="Times New Roman"/>
      <charset val="134"/>
    </font>
    <font>
      <i/>
      <sz val="6"/>
      <color rgb="FF000000"/>
      <name val="Times New Roman"/>
      <charset val="134"/>
    </font>
    <font>
      <i/>
      <sz val="6"/>
      <color rgb="FF000000"/>
      <name val="宋体"/>
      <charset val="134"/>
    </font>
    <font>
      <vertAlign val="superscript"/>
      <sz val="14"/>
      <color theme="1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4B0F1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Down="1">
      <left/>
      <right/>
      <top style="thin">
        <color rgb="FF000000"/>
      </top>
      <bottom/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 diagonalDown="1">
      <left/>
      <right/>
      <top/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  <protection locked="0"/>
    </xf>
    <xf numFmtId="42" fontId="15" fillId="0" borderId="0" applyFont="0" applyFill="0" applyBorder="0" applyAlignment="0" applyProtection="0">
      <alignment vertical="center"/>
    </xf>
    <xf numFmtId="0" fontId="138" fillId="25" borderId="0" applyNumberFormat="0" applyBorder="0" applyAlignment="0" applyProtection="0">
      <alignment vertical="center"/>
    </xf>
    <xf numFmtId="0" fontId="139" fillId="26" borderId="68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41" fillId="29" borderId="0" applyNumberFormat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5" fillId="30" borderId="69" applyNumberFormat="0" applyFont="0" applyAlignment="0" applyProtection="0">
      <alignment vertical="center"/>
    </xf>
    <xf numFmtId="0" fontId="141" fillId="13" borderId="0" applyNumberFormat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0" borderId="70" applyNumberFormat="0" applyFill="0" applyAlignment="0" applyProtection="0">
      <alignment vertical="center"/>
    </xf>
    <xf numFmtId="0" fontId="149" fillId="0" borderId="70" applyNumberFormat="0" applyFill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4" fillId="0" borderId="71" applyNumberFormat="0" applyFill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50" fillId="33" borderId="72" applyNumberFormat="0" applyAlignment="0" applyProtection="0">
      <alignment vertical="center"/>
    </xf>
    <xf numFmtId="0" fontId="151" fillId="33" borderId="68" applyNumberFormat="0" applyAlignment="0" applyProtection="0">
      <alignment vertical="center"/>
    </xf>
    <xf numFmtId="0" fontId="152" fillId="34" borderId="73" applyNumberFormat="0" applyAlignment="0" applyProtection="0">
      <alignment vertical="center"/>
    </xf>
    <xf numFmtId="0" fontId="138" fillId="35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0" fontId="153" fillId="0" borderId="74" applyNumberFormat="0" applyFill="0" applyAlignment="0" applyProtection="0">
      <alignment vertical="center"/>
    </xf>
    <xf numFmtId="0" fontId="154" fillId="0" borderId="75" applyNumberFormat="0" applyFill="0" applyAlignment="0" applyProtection="0">
      <alignment vertical="center"/>
    </xf>
    <xf numFmtId="0" fontId="155" fillId="37" borderId="0" applyNumberFormat="0" applyBorder="0" applyAlignment="0" applyProtection="0">
      <alignment vertical="center"/>
    </xf>
    <xf numFmtId="0" fontId="156" fillId="38" borderId="0" applyNumberFormat="0" applyBorder="0" applyAlignment="0" applyProtection="0">
      <alignment vertical="center"/>
    </xf>
    <xf numFmtId="0" fontId="138" fillId="39" borderId="0" applyNumberFormat="0" applyBorder="0" applyAlignment="0" applyProtection="0">
      <alignment vertical="center"/>
    </xf>
    <xf numFmtId="0" fontId="141" fillId="40" borderId="0" applyNumberFormat="0" applyBorder="0" applyAlignment="0" applyProtection="0">
      <alignment vertical="center"/>
    </xf>
    <xf numFmtId="0" fontId="138" fillId="41" borderId="0" applyNumberFormat="0" applyBorder="0" applyAlignment="0" applyProtection="0">
      <alignment vertical="center"/>
    </xf>
    <xf numFmtId="0" fontId="138" fillId="42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41" fillId="45" borderId="0" applyNumberFormat="0" applyBorder="0" applyAlignment="0" applyProtection="0">
      <alignment vertical="center"/>
    </xf>
    <xf numFmtId="0" fontId="141" fillId="46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1" fillId="49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41" fillId="5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41" fillId="53" borderId="0" applyNumberFormat="0" applyBorder="0" applyAlignment="0" applyProtection="0">
      <alignment vertical="center"/>
    </xf>
  </cellStyleXfs>
  <cellXfs count="492">
    <xf numFmtId="0" fontId="0" fillId="0" borderId="0" xfId="0" applyFont="1">
      <alignment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  <protection locked="0"/>
    </xf>
    <xf numFmtId="176" fontId="1" fillId="0" borderId="4" xfId="0" applyNumberFormat="1" applyFont="1" applyBorder="1" applyAlignment="1" applyProtection="1">
      <alignment horizontal="center" vertical="center"/>
    </xf>
    <xf numFmtId="0" fontId="2" fillId="0" borderId="7" xfId="0" applyFont="1" applyBorder="1" applyAlignment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Protection="1">
      <alignment vertical="center"/>
    </xf>
    <xf numFmtId="0" fontId="3" fillId="0" borderId="4" xfId="0" applyFont="1" applyBorder="1" applyProtection="1">
      <alignment vertical="center"/>
    </xf>
    <xf numFmtId="0" fontId="0" fillId="0" borderId="0" xfId="0" applyFont="1" applyAlignment="1">
      <alignment horizontal="center" vertical="center"/>
      <protection locked="0"/>
    </xf>
    <xf numFmtId="0" fontId="4" fillId="2" borderId="9" xfId="0" applyFont="1" applyFill="1" applyBorder="1" applyAlignment="1">
      <alignment horizontal="center" vertical="center"/>
      <protection locked="0"/>
    </xf>
    <xf numFmtId="0" fontId="5" fillId="2" borderId="9" xfId="0" applyFont="1" applyFill="1" applyBorder="1" applyAlignment="1">
      <alignment horizontal="center" vertical="center"/>
      <protection locked="0"/>
    </xf>
    <xf numFmtId="0" fontId="6" fillId="3" borderId="9" xfId="0" applyFont="1" applyFill="1" applyBorder="1" applyAlignment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  <protection locked="0"/>
    </xf>
    <xf numFmtId="176" fontId="7" fillId="4" borderId="9" xfId="0" applyNumberFormat="1" applyFont="1" applyFill="1" applyBorder="1" applyAlignment="1" applyProtection="1">
      <alignment horizontal="center" vertical="center"/>
    </xf>
    <xf numFmtId="0" fontId="8" fillId="0" borderId="7" xfId="0" applyFont="1" applyFill="1" applyBorder="1" applyAlignment="1">
      <alignment horizontal="center" vertical="center" wrapText="1"/>
      <protection locked="0"/>
    </xf>
    <xf numFmtId="0" fontId="8" fillId="0" borderId="10" xfId="0" applyFont="1" applyFill="1" applyBorder="1" applyAlignment="1">
      <alignment horizontal="center" vertical="center" wrapText="1"/>
      <protection locked="0"/>
    </xf>
    <xf numFmtId="176" fontId="9" fillId="3" borderId="9" xfId="0" applyNumberFormat="1" applyFont="1" applyFill="1" applyBorder="1" applyAlignment="1">
      <alignment horizontal="center" vertical="center"/>
      <protection locked="0"/>
    </xf>
    <xf numFmtId="10" fontId="9" fillId="3" borderId="9" xfId="0" applyNumberFormat="1" applyFont="1" applyFill="1" applyBorder="1" applyAlignment="1">
      <alignment horizontal="center" vertical="center"/>
      <protection locked="0"/>
    </xf>
    <xf numFmtId="176" fontId="10" fillId="0" borderId="11" xfId="0" applyNumberFormat="1" applyFont="1" applyFill="1" applyBorder="1" applyAlignment="1" applyProtection="1">
      <alignment horizontal="center" vertical="center"/>
    </xf>
    <xf numFmtId="176" fontId="10" fillId="0" borderId="12" xfId="0" applyNumberFormat="1" applyFont="1" applyFill="1" applyBorder="1" applyAlignment="1" applyProtection="1">
      <alignment horizontal="center" vertical="center"/>
    </xf>
    <xf numFmtId="176" fontId="10" fillId="0" borderId="13" xfId="0" applyNumberFormat="1" applyFont="1" applyFill="1" applyBorder="1" applyAlignment="1" applyProtection="1">
      <alignment horizontal="center" vertical="center"/>
    </xf>
    <xf numFmtId="0" fontId="8" fillId="0" borderId="14" xfId="0" applyFont="1" applyFill="1" applyBorder="1" applyAlignment="1">
      <alignment horizontal="center" vertical="center" wrapText="1"/>
      <protection locked="0"/>
    </xf>
    <xf numFmtId="0" fontId="8" fillId="0" borderId="15" xfId="0" applyFont="1" applyFill="1" applyBorder="1" applyAlignment="1">
      <alignment horizontal="center" vertical="center" wrapText="1"/>
      <protection locked="0"/>
    </xf>
    <xf numFmtId="0" fontId="8" fillId="0" borderId="16" xfId="0" applyFont="1" applyFill="1" applyBorder="1" applyAlignment="1">
      <alignment horizontal="center" vertical="center" wrapText="1"/>
      <protection locked="0"/>
    </xf>
    <xf numFmtId="0" fontId="8" fillId="0" borderId="0" xfId="0" applyFont="1" applyFill="1" applyBorder="1" applyAlignment="1">
      <alignment horizontal="center" vertical="center" wrapText="1"/>
      <protection locked="0"/>
    </xf>
    <xf numFmtId="0" fontId="8" fillId="0" borderId="9" xfId="0" applyFont="1" applyFill="1" applyBorder="1" applyAlignment="1">
      <alignment horizontal="center" vertical="center" wrapText="1"/>
      <protection locked="0"/>
    </xf>
    <xf numFmtId="0" fontId="8" fillId="0" borderId="0" xfId="0" applyFont="1" applyFill="1" applyAlignment="1">
      <alignment horizontal="center" vertical="center" wrapText="1"/>
      <protection locked="0"/>
    </xf>
    <xf numFmtId="0" fontId="11" fillId="5" borderId="9" xfId="0" applyFont="1" applyFill="1" applyBorder="1" applyAlignment="1">
      <alignment horizontal="center" vertical="center"/>
      <protection locked="0"/>
    </xf>
    <xf numFmtId="0" fontId="12" fillId="5" borderId="9" xfId="0" applyFont="1" applyFill="1" applyBorder="1" applyAlignment="1">
      <alignment horizontal="center" vertical="center"/>
      <protection locked="0"/>
    </xf>
    <xf numFmtId="176" fontId="13" fillId="0" borderId="14" xfId="0" applyNumberFormat="1" applyFont="1" applyBorder="1" applyAlignment="1">
      <alignment horizontal="center" vertical="center" wrapText="1"/>
      <protection locked="0"/>
    </xf>
    <xf numFmtId="176" fontId="13" fillId="0" borderId="17" xfId="0" applyNumberFormat="1" applyFont="1" applyBorder="1" applyAlignment="1">
      <alignment horizontal="center" vertical="center" wrapText="1"/>
      <protection locked="0"/>
    </xf>
    <xf numFmtId="176" fontId="2" fillId="5" borderId="4" xfId="0" applyNumberFormat="1" applyFont="1" applyFill="1" applyBorder="1" applyAlignment="1">
      <alignment horizontal="center" vertical="center" wrapText="1"/>
      <protection locked="0"/>
    </xf>
    <xf numFmtId="176" fontId="10" fillId="0" borderId="9" xfId="0" applyNumberFormat="1" applyFont="1" applyFill="1" applyBorder="1" applyAlignment="1" applyProtection="1">
      <alignment horizontal="center" vertical="center"/>
    </xf>
    <xf numFmtId="176" fontId="13" fillId="0" borderId="4" xfId="0" applyNumberFormat="1" applyFont="1" applyBorder="1" applyAlignment="1">
      <alignment horizontal="center" vertical="center" wrapText="1"/>
      <protection locked="0"/>
    </xf>
    <xf numFmtId="0" fontId="14" fillId="3" borderId="18" xfId="0" applyFont="1" applyFill="1" applyBorder="1" applyAlignment="1">
      <alignment horizontal="center" vertical="center" wrapText="1"/>
      <protection locked="0"/>
    </xf>
    <xf numFmtId="0" fontId="14" fillId="3" borderId="19" xfId="0" applyFont="1" applyFill="1" applyBorder="1" applyAlignment="1">
      <alignment horizontal="center" vertical="center" wrapText="1"/>
      <protection locked="0"/>
    </xf>
    <xf numFmtId="0" fontId="14" fillId="3" borderId="20" xfId="0" applyFont="1" applyFill="1" applyBorder="1" applyAlignment="1">
      <alignment horizontal="center" vertical="center" wrapText="1"/>
      <protection locked="0"/>
    </xf>
    <xf numFmtId="0" fontId="14" fillId="5" borderId="9" xfId="0" applyFont="1" applyFill="1" applyBorder="1" applyAlignment="1">
      <alignment horizontal="center" vertical="center" wrapText="1"/>
      <protection locked="0"/>
    </xf>
    <xf numFmtId="0" fontId="14" fillId="3" borderId="7" xfId="0" applyFont="1" applyFill="1" applyBorder="1" applyAlignment="1">
      <alignment horizontal="center" vertical="center" wrapText="1"/>
      <protection locked="0"/>
    </xf>
    <xf numFmtId="0" fontId="14" fillId="3" borderId="8" xfId="0" applyFont="1" applyFill="1" applyBorder="1" applyAlignment="1">
      <alignment horizontal="center" vertical="center" wrapText="1"/>
      <protection locked="0"/>
    </xf>
    <xf numFmtId="0" fontId="14" fillId="3" borderId="10" xfId="0" applyFont="1" applyFill="1" applyBorder="1" applyAlignment="1">
      <alignment horizontal="center" vertical="center" wrapText="1"/>
      <protection locked="0"/>
    </xf>
    <xf numFmtId="176" fontId="15" fillId="0" borderId="0" xfId="0" applyNumberFormat="1" applyFont="1" applyFill="1" applyAlignment="1" applyProtection="1">
      <alignment vertical="center"/>
    </xf>
    <xf numFmtId="0" fontId="13" fillId="0" borderId="21" xfId="0" applyFont="1" applyBorder="1" applyAlignment="1">
      <alignment horizontal="center" vertical="center" wrapText="1"/>
      <protection locked="0"/>
    </xf>
    <xf numFmtId="0" fontId="13" fillId="0" borderId="6" xfId="0" applyFont="1" applyBorder="1" applyAlignment="1">
      <alignment horizontal="center" vertical="center" wrapText="1"/>
      <protection locked="0"/>
    </xf>
    <xf numFmtId="178" fontId="2" fillId="5" borderId="22" xfId="0" applyNumberFormat="1" applyFont="1" applyFill="1" applyBorder="1" applyAlignment="1">
      <alignment horizontal="center" vertical="center" wrapText="1"/>
      <protection locked="0"/>
    </xf>
    <xf numFmtId="0" fontId="13" fillId="0" borderId="23" xfId="0" applyFont="1" applyBorder="1" applyAlignment="1">
      <alignment horizontal="center" vertical="center" wrapText="1"/>
      <protection locked="0"/>
    </xf>
    <xf numFmtId="0" fontId="13" fillId="0" borderId="8" xfId="0" applyFont="1" applyBorder="1" applyAlignment="1">
      <alignment horizontal="center" vertical="center" wrapText="1"/>
      <protection locked="0"/>
    </xf>
    <xf numFmtId="178" fontId="2" fillId="5" borderId="24" xfId="0" applyNumberFormat="1" applyFont="1" applyFill="1" applyBorder="1" applyAlignment="1">
      <alignment horizontal="center" vertical="center" wrapText="1"/>
      <protection locked="0"/>
    </xf>
    <xf numFmtId="0" fontId="16" fillId="6" borderId="9" xfId="0" applyFont="1" applyFill="1" applyBorder="1" applyAlignment="1" applyProtection="1">
      <alignment horizontal="center" vertical="center"/>
    </xf>
    <xf numFmtId="0" fontId="17" fillId="7" borderId="9" xfId="0" applyFont="1" applyFill="1" applyBorder="1" applyAlignment="1" applyProtection="1">
      <alignment horizontal="center" vertical="center"/>
    </xf>
    <xf numFmtId="0" fontId="18" fillId="8" borderId="9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>
      <alignment horizontal="center" vertical="center"/>
      <protection locked="0"/>
    </xf>
    <xf numFmtId="0" fontId="17" fillId="0" borderId="9" xfId="0" applyFont="1" applyFill="1" applyBorder="1" applyAlignment="1" applyProtection="1">
      <alignment horizontal="center" vertical="center"/>
    </xf>
    <xf numFmtId="179" fontId="9" fillId="2" borderId="9" xfId="0" applyNumberFormat="1" applyFont="1" applyFill="1" applyBorder="1" applyAlignment="1">
      <alignment horizontal="center" vertical="center"/>
      <protection locked="0"/>
    </xf>
    <xf numFmtId="0" fontId="7" fillId="9" borderId="9" xfId="0" applyFont="1" applyFill="1" applyBorder="1" applyAlignment="1" applyProtection="1">
      <alignment horizontal="center" vertical="center"/>
    </xf>
    <xf numFmtId="0" fontId="0" fillId="0" borderId="9" xfId="0" applyFont="1" applyBorder="1">
      <alignment vertical="center"/>
      <protection locked="0"/>
    </xf>
    <xf numFmtId="0" fontId="14" fillId="6" borderId="9" xfId="0" applyFont="1" applyFill="1" applyBorder="1" applyAlignment="1">
      <alignment horizontal="center" vertical="center"/>
      <protection locked="0"/>
    </xf>
    <xf numFmtId="0" fontId="19" fillId="0" borderId="0" xfId="0" applyFont="1" applyAlignment="1">
      <alignment horizontal="center" vertical="center"/>
      <protection locked="0"/>
    </xf>
    <xf numFmtId="0" fontId="20" fillId="4" borderId="0" xfId="0" applyFont="1" applyFill="1" applyAlignment="1">
      <alignment horizontal="center" vertical="center"/>
      <protection locked="0"/>
    </xf>
    <xf numFmtId="0" fontId="0" fillId="4" borderId="0" xfId="0" applyFont="1" applyFill="1" applyAlignment="1">
      <alignment horizontal="center" vertical="center"/>
      <protection locked="0"/>
    </xf>
    <xf numFmtId="20" fontId="2" fillId="0" borderId="6" xfId="0" applyNumberFormat="1" applyFont="1" applyBorder="1" applyAlignment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  <protection locked="0"/>
    </xf>
    <xf numFmtId="0" fontId="21" fillId="10" borderId="0" xfId="0" applyFont="1" applyFill="1" applyAlignment="1">
      <alignment horizontal="center" vertical="center"/>
      <protection locked="0"/>
    </xf>
    <xf numFmtId="0" fontId="21" fillId="0" borderId="0" xfId="0" applyFont="1" applyAlignment="1">
      <alignment horizontal="center" vertical="center"/>
      <protection locked="0"/>
    </xf>
    <xf numFmtId="20" fontId="2" fillId="0" borderId="8" xfId="0" applyNumberFormat="1" applyFont="1" applyBorder="1" applyAlignment="1">
      <alignment horizontal="center" vertical="center"/>
      <protection locked="0"/>
    </xf>
    <xf numFmtId="0" fontId="2" fillId="0" borderId="8" xfId="0" applyFont="1" applyBorder="1" applyAlignment="1">
      <alignment horizontal="center" vertical="center"/>
      <protection locked="0"/>
    </xf>
    <xf numFmtId="22" fontId="22" fillId="0" borderId="0" xfId="0" applyNumberFormat="1" applyFont="1" applyAlignment="1">
      <alignment horizontal="center" vertical="center"/>
      <protection locked="0"/>
    </xf>
    <xf numFmtId="20" fontId="2" fillId="0" borderId="8" xfId="0" applyNumberFormat="1" applyFont="1" applyBorder="1" applyAlignment="1">
      <alignment horizontal="center" vertical="center" wrapText="1"/>
      <protection locked="0"/>
    </xf>
    <xf numFmtId="0" fontId="23" fillId="11" borderId="25" xfId="0" applyFont="1" applyFill="1" applyBorder="1" applyAlignment="1">
      <alignment horizontal="center" vertical="center"/>
      <protection locked="0"/>
    </xf>
    <xf numFmtId="0" fontId="23" fillId="11" borderId="20" xfId="0" applyFont="1" applyFill="1" applyBorder="1" applyAlignment="1">
      <alignment horizontal="center" vertical="center"/>
      <protection locked="0"/>
    </xf>
    <xf numFmtId="0" fontId="23" fillId="4" borderId="20" xfId="0" applyFont="1" applyFill="1" applyBorder="1" applyAlignment="1">
      <alignment horizontal="center" vertical="center"/>
      <protection locked="0"/>
    </xf>
    <xf numFmtId="0" fontId="24" fillId="0" borderId="5" xfId="0" applyFont="1" applyBorder="1" applyAlignment="1">
      <alignment horizontal="center" vertical="center" wrapText="1"/>
      <protection locked="0"/>
    </xf>
    <xf numFmtId="0" fontId="24" fillId="0" borderId="6" xfId="0" applyFont="1" applyBorder="1" applyAlignment="1">
      <alignment horizontal="center" vertical="center" wrapText="1"/>
      <protection locked="0"/>
    </xf>
    <xf numFmtId="0" fontId="2" fillId="0" borderId="0" xfId="0" applyFont="1" applyAlignment="1">
      <alignment horizontal="center" vertical="center"/>
      <protection locked="0"/>
    </xf>
    <xf numFmtId="0" fontId="24" fillId="0" borderId="7" xfId="0" applyFont="1" applyBorder="1" applyAlignment="1">
      <alignment horizontal="center" vertical="center" wrapText="1"/>
      <protection locked="0"/>
    </xf>
    <xf numFmtId="0" fontId="24" fillId="0" borderId="8" xfId="0" applyFont="1" applyBorder="1" applyAlignment="1">
      <alignment horizontal="center" vertical="center" wrapText="1"/>
      <protection locked="0"/>
    </xf>
    <xf numFmtId="0" fontId="2" fillId="0" borderId="10" xfId="0" applyFont="1" applyBorder="1" applyAlignment="1">
      <alignment horizontal="center" vertical="center"/>
      <protection locked="0"/>
    </xf>
    <xf numFmtId="0" fontId="6" fillId="12" borderId="0" xfId="0" applyFont="1" applyFill="1" applyAlignment="1">
      <alignment horizontal="center" vertical="center"/>
      <protection locked="0"/>
    </xf>
    <xf numFmtId="0" fontId="15" fillId="0" borderId="0" xfId="0" applyFont="1" applyFill="1" applyAlignment="1" applyProtection="1">
      <alignment vertical="center"/>
    </xf>
    <xf numFmtId="0" fontId="25" fillId="0" borderId="0" xfId="0" applyFont="1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0" fontId="18" fillId="0" borderId="5" xfId="0" applyFont="1" applyFill="1" applyBorder="1" applyAlignment="1" applyProtection="1">
      <alignment horizontal="center" vertical="center" wrapText="1"/>
    </xf>
    <xf numFmtId="0" fontId="26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8" fillId="0" borderId="7" xfId="0" applyFont="1" applyFill="1" applyBorder="1" applyAlignment="1" applyProtection="1">
      <alignment horizontal="center" vertical="center" wrapText="1"/>
    </xf>
    <xf numFmtId="0" fontId="27" fillId="0" borderId="0" xfId="0" applyFont="1" applyFill="1" applyAlignment="1" applyProtection="1">
      <alignment horizontal="center" vertical="center"/>
    </xf>
    <xf numFmtId="0" fontId="15" fillId="0" borderId="25" xfId="0" applyFont="1" applyFill="1" applyBorder="1" applyAlignment="1" applyProtection="1">
      <alignment horizontal="center" vertical="center"/>
    </xf>
    <xf numFmtId="0" fontId="28" fillId="0" borderId="19" xfId="0" applyFont="1" applyFill="1" applyBorder="1" applyAlignment="1" applyProtection="1">
      <alignment horizontal="center" vertical="center"/>
    </xf>
    <xf numFmtId="0" fontId="29" fillId="0" borderId="0" xfId="0" applyFont="1" applyFill="1" applyAlignment="1" applyProtection="1">
      <alignment horizontal="center" vertical="center"/>
    </xf>
    <xf numFmtId="0" fontId="15" fillId="0" borderId="26" xfId="0" applyFont="1" applyFill="1" applyBorder="1" applyAlignment="1" applyProtection="1">
      <alignment horizontal="center" vertical="center"/>
    </xf>
    <xf numFmtId="0" fontId="16" fillId="0" borderId="27" xfId="0" applyFont="1" applyFill="1" applyBorder="1" applyAlignment="1" applyProtection="1">
      <alignment horizontal="center" vertical="center"/>
    </xf>
    <xf numFmtId="0" fontId="15" fillId="0" borderId="28" xfId="0" applyFont="1" applyFill="1" applyBorder="1" applyAlignment="1" applyProtection="1">
      <alignment horizontal="center" vertical="center"/>
    </xf>
    <xf numFmtId="0" fontId="7" fillId="0" borderId="8" xfId="0" applyFont="1" applyFill="1" applyBorder="1" applyAlignment="1" applyProtection="1">
      <alignment horizontal="center" vertical="center"/>
    </xf>
    <xf numFmtId="0" fontId="30" fillId="9" borderId="0" xfId="0" applyFont="1" applyFill="1" applyAlignment="1">
      <alignment horizontal="center" vertical="center"/>
      <protection locked="0"/>
    </xf>
    <xf numFmtId="0" fontId="30" fillId="9" borderId="0" xfId="0" applyFont="1" applyFill="1">
      <alignment vertical="center"/>
      <protection locked="0"/>
    </xf>
    <xf numFmtId="0" fontId="31" fillId="0" borderId="0" xfId="0" applyFont="1">
      <alignment vertical="center"/>
      <protection locked="0"/>
    </xf>
    <xf numFmtId="0" fontId="23" fillId="4" borderId="19" xfId="0" applyFont="1" applyFill="1" applyBorder="1" applyAlignment="1">
      <alignment horizontal="center" vertical="center"/>
      <protection locked="0"/>
    </xf>
    <xf numFmtId="0" fontId="2" fillId="0" borderId="27" xfId="0" applyFont="1" applyBorder="1" applyAlignment="1">
      <alignment horizontal="center" vertical="center"/>
      <protection locked="0"/>
    </xf>
    <xf numFmtId="178" fontId="32" fillId="0" borderId="0" xfId="0" applyNumberFormat="1" applyFont="1" applyAlignment="1">
      <alignment horizontal="center" vertical="center"/>
      <protection locked="0"/>
    </xf>
    <xf numFmtId="0" fontId="33" fillId="13" borderId="25" xfId="0" applyFont="1" applyFill="1" applyBorder="1" applyAlignment="1" applyProtection="1">
      <alignment horizontal="center" vertical="center"/>
    </xf>
    <xf numFmtId="0" fontId="34" fillId="13" borderId="20" xfId="0" applyFont="1" applyFill="1" applyBorder="1" applyAlignment="1" applyProtection="1">
      <alignment horizontal="center" vertical="center"/>
    </xf>
    <xf numFmtId="0" fontId="34" fillId="13" borderId="19" xfId="0" applyFont="1" applyFill="1" applyBorder="1" applyAlignment="1" applyProtection="1">
      <alignment horizontal="center" vertical="center"/>
    </xf>
    <xf numFmtId="0" fontId="33" fillId="14" borderId="18" xfId="0" applyFont="1" applyFill="1" applyBorder="1" applyAlignment="1" applyProtection="1">
      <alignment horizontal="center" vertical="center"/>
    </xf>
    <xf numFmtId="0" fontId="6" fillId="7" borderId="25" xfId="0" applyFont="1" applyFill="1" applyBorder="1" applyAlignment="1">
      <alignment horizontal="center" vertical="center"/>
      <protection locked="0"/>
    </xf>
    <xf numFmtId="0" fontId="0" fillId="0" borderId="19" xfId="0" applyFont="1" applyBorder="1">
      <alignment vertical="center"/>
      <protection locked="0"/>
    </xf>
    <xf numFmtId="0" fontId="33" fillId="7" borderId="9" xfId="0" applyFont="1" applyFill="1" applyBorder="1" applyAlignment="1" applyProtection="1">
      <alignment horizontal="center" vertical="center"/>
    </xf>
    <xf numFmtId="0" fontId="33" fillId="14" borderId="9" xfId="0" applyFont="1" applyFill="1" applyBorder="1" applyAlignment="1" applyProtection="1">
      <alignment horizontal="center" vertical="center" wrapText="1"/>
    </xf>
    <xf numFmtId="0" fontId="33" fillId="0" borderId="26" xfId="0" applyFont="1" applyFill="1" applyBorder="1" applyAlignment="1" applyProtection="1">
      <alignment horizontal="center" vertical="center"/>
    </xf>
    <xf numFmtId="0" fontId="33" fillId="0" borderId="27" xfId="0" applyFont="1" applyFill="1" applyBorder="1" applyAlignment="1" applyProtection="1">
      <alignment horizontal="center" vertical="center"/>
    </xf>
    <xf numFmtId="0" fontId="35" fillId="7" borderId="9" xfId="0" applyFont="1" applyFill="1" applyBorder="1" applyAlignment="1" applyProtection="1">
      <alignment horizontal="center" vertical="center"/>
    </xf>
    <xf numFmtId="0" fontId="34" fillId="0" borderId="9" xfId="0" applyFont="1" applyFill="1" applyBorder="1" applyAlignment="1" applyProtection="1">
      <alignment horizontal="center" vertical="center"/>
    </xf>
    <xf numFmtId="0" fontId="36" fillId="14" borderId="9" xfId="0" applyFont="1" applyFill="1" applyBorder="1" applyAlignment="1" applyProtection="1">
      <alignment horizontal="center" vertical="center" wrapText="1"/>
    </xf>
    <xf numFmtId="0" fontId="34" fillId="0" borderId="27" xfId="0" applyFont="1" applyFill="1" applyBorder="1" applyAlignment="1" applyProtection="1">
      <alignment horizontal="center" vertical="center"/>
    </xf>
    <xf numFmtId="0" fontId="33" fillId="0" borderId="28" xfId="0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33" fillId="7" borderId="9" xfId="0" applyFont="1" applyFill="1" applyBorder="1" applyAlignment="1" applyProtection="1">
      <alignment horizontal="center" vertical="center" wrapText="1"/>
    </xf>
    <xf numFmtId="0" fontId="34" fillId="7" borderId="9" xfId="0" applyFont="1" applyFill="1" applyBorder="1" applyAlignment="1" applyProtection="1">
      <alignment horizontal="center" vertical="center"/>
    </xf>
    <xf numFmtId="0" fontId="0" fillId="0" borderId="25" xfId="0" applyFont="1" applyBorder="1" applyAlignment="1">
      <alignment horizontal="center" vertical="center"/>
      <protection locked="0"/>
    </xf>
    <xf numFmtId="0" fontId="0" fillId="0" borderId="20" xfId="0" applyFont="1" applyBorder="1" applyAlignment="1">
      <alignment horizontal="center" vertical="center"/>
      <protection locked="0"/>
    </xf>
    <xf numFmtId="176" fontId="34" fillId="7" borderId="9" xfId="0" applyNumberFormat="1" applyFont="1" applyFill="1" applyBorder="1" applyAlignment="1" applyProtection="1">
      <alignment horizontal="center" vertical="center"/>
    </xf>
    <xf numFmtId="0" fontId="35" fillId="7" borderId="29" xfId="0" applyFont="1" applyFill="1" applyBorder="1" applyAlignment="1" applyProtection="1">
      <alignment horizontal="center" vertical="center"/>
    </xf>
    <xf numFmtId="0" fontId="35" fillId="0" borderId="9" xfId="0" applyFont="1" applyFill="1" applyBorder="1" applyAlignment="1" applyProtection="1">
      <alignment horizontal="center" vertical="center"/>
    </xf>
    <xf numFmtId="0" fontId="35" fillId="7" borderId="30" xfId="0" applyFont="1" applyFill="1" applyBorder="1" applyAlignment="1" applyProtection="1">
      <alignment horizontal="center" vertical="center"/>
    </xf>
    <xf numFmtId="0" fontId="34" fillId="0" borderId="31" xfId="0" applyFont="1" applyFill="1" applyBorder="1" applyAlignment="1" applyProtection="1">
      <alignment horizontal="center" vertical="center"/>
    </xf>
    <xf numFmtId="0" fontId="33" fillId="15" borderId="9" xfId="0" applyFont="1" applyFill="1" applyBorder="1" applyAlignment="1" applyProtection="1">
      <alignment horizontal="center" vertical="center" wrapText="1"/>
    </xf>
    <xf numFmtId="0" fontId="34" fillId="15" borderId="9" xfId="0" applyFont="1" applyFill="1" applyBorder="1" applyAlignment="1" applyProtection="1">
      <alignment horizontal="center" vertical="center"/>
    </xf>
    <xf numFmtId="176" fontId="34" fillId="15" borderId="9" xfId="0" applyNumberFormat="1" applyFont="1" applyFill="1" applyBorder="1" applyAlignment="1" applyProtection="1">
      <alignment horizontal="center" vertical="center"/>
    </xf>
    <xf numFmtId="0" fontId="33" fillId="16" borderId="9" xfId="0" applyFont="1" applyFill="1" applyBorder="1" applyAlignment="1" applyProtection="1">
      <alignment horizontal="center" vertical="center"/>
    </xf>
    <xf numFmtId="0" fontId="34" fillId="16" borderId="9" xfId="0" applyFont="1" applyFill="1" applyBorder="1" applyAlignment="1" applyProtection="1">
      <alignment horizontal="center" vertical="center"/>
    </xf>
    <xf numFmtId="180" fontId="34" fillId="16" borderId="9" xfId="0" applyNumberFormat="1" applyFont="1" applyFill="1" applyBorder="1" applyAlignment="1" applyProtection="1">
      <alignment horizontal="center" vertical="center"/>
    </xf>
    <xf numFmtId="0" fontId="33" fillId="17" borderId="9" xfId="0" applyFont="1" applyFill="1" applyBorder="1" applyAlignment="1" applyProtection="1">
      <alignment horizontal="center" vertical="center" wrapText="1"/>
    </xf>
    <xf numFmtId="0" fontId="34" fillId="17" borderId="9" xfId="0" applyFont="1" applyFill="1" applyBorder="1" applyAlignment="1" applyProtection="1">
      <alignment horizontal="center" vertical="center"/>
    </xf>
    <xf numFmtId="0" fontId="33" fillId="17" borderId="9" xfId="0" applyFont="1" applyFill="1" applyBorder="1" applyAlignment="1" applyProtection="1">
      <alignment horizontal="center" vertical="center"/>
    </xf>
    <xf numFmtId="179" fontId="34" fillId="17" borderId="9" xfId="0" applyNumberFormat="1" applyFont="1" applyFill="1" applyBorder="1" applyAlignment="1" applyProtection="1">
      <alignment horizontal="center" vertical="center"/>
    </xf>
    <xf numFmtId="0" fontId="37" fillId="17" borderId="9" xfId="0" applyFont="1" applyFill="1" applyBorder="1" applyAlignment="1" applyProtection="1">
      <alignment horizontal="center" vertical="center"/>
    </xf>
    <xf numFmtId="0" fontId="33" fillId="6" borderId="9" xfId="0" applyFont="1" applyFill="1" applyBorder="1" applyAlignment="1" applyProtection="1">
      <alignment horizontal="center" vertical="center" wrapText="1"/>
    </xf>
    <xf numFmtId="0" fontId="34" fillId="6" borderId="9" xfId="0" applyFont="1" applyFill="1" applyBorder="1" applyAlignment="1" applyProtection="1">
      <alignment horizontal="center" vertical="center"/>
    </xf>
    <xf numFmtId="0" fontId="33" fillId="6" borderId="9" xfId="0" applyFont="1" applyFill="1" applyBorder="1" applyAlignment="1" applyProtection="1">
      <alignment horizontal="center" vertical="center"/>
    </xf>
    <xf numFmtId="176" fontId="34" fillId="6" borderId="9" xfId="0" applyNumberFormat="1" applyFont="1" applyFill="1" applyBorder="1" applyAlignment="1" applyProtection="1">
      <alignment horizontal="center" vertical="center"/>
    </xf>
    <xf numFmtId="0" fontId="35" fillId="6" borderId="9" xfId="0" applyFont="1" applyFill="1" applyBorder="1" applyAlignment="1" applyProtection="1">
      <alignment horizontal="center" vertical="center"/>
    </xf>
    <xf numFmtId="0" fontId="35" fillId="7" borderId="32" xfId="0" applyFont="1" applyFill="1" applyBorder="1" applyAlignment="1" applyProtection="1">
      <alignment horizontal="center" vertical="center"/>
    </xf>
    <xf numFmtId="176" fontId="38" fillId="2" borderId="27" xfId="0" applyNumberFormat="1" applyFont="1" applyFill="1" applyBorder="1" applyAlignment="1">
      <alignment horizontal="center" vertical="center"/>
      <protection locked="0"/>
    </xf>
    <xf numFmtId="176" fontId="38" fillId="2" borderId="8" xfId="0" applyNumberFormat="1" applyFont="1" applyFill="1" applyBorder="1" applyAlignment="1">
      <alignment horizontal="center" vertical="center"/>
      <protection locked="0"/>
    </xf>
    <xf numFmtId="0" fontId="35" fillId="12" borderId="9" xfId="0" applyFont="1" applyFill="1" applyBorder="1" applyAlignment="1" applyProtection="1">
      <alignment horizontal="center" vertical="center"/>
    </xf>
    <xf numFmtId="176" fontId="38" fillId="12" borderId="0" xfId="0" applyNumberFormat="1" applyFont="1" applyFill="1" applyAlignment="1">
      <alignment horizontal="center" vertical="center"/>
      <protection locked="0"/>
    </xf>
    <xf numFmtId="0" fontId="39" fillId="7" borderId="0" xfId="0" applyFont="1" applyFill="1" applyAlignment="1" applyProtection="1">
      <alignment horizontal="center" vertical="center"/>
    </xf>
    <xf numFmtId="0" fontId="40" fillId="0" borderId="33" xfId="0" applyFont="1" applyFill="1" applyBorder="1" applyAlignment="1" applyProtection="1">
      <alignment horizontal="center" vertical="center" wrapText="1"/>
    </xf>
    <xf numFmtId="0" fontId="40" fillId="0" borderId="34" xfId="0" applyFont="1" applyFill="1" applyBorder="1" applyAlignment="1" applyProtection="1">
      <alignment horizontal="center" vertical="center" wrapText="1"/>
    </xf>
    <xf numFmtId="0" fontId="40" fillId="0" borderId="35" xfId="0" applyFont="1" applyFill="1" applyBorder="1" applyAlignment="1" applyProtection="1">
      <alignment horizontal="center" vertical="center" wrapText="1"/>
    </xf>
    <xf numFmtId="0" fontId="40" fillId="0" borderId="36" xfId="0" applyFont="1" applyFill="1" applyBorder="1" applyAlignment="1" applyProtection="1">
      <alignment horizontal="center" vertical="center" wrapText="1"/>
    </xf>
    <xf numFmtId="0" fontId="41" fillId="0" borderId="34" xfId="0" applyFont="1" applyFill="1" applyBorder="1" applyAlignment="1" applyProtection="1">
      <alignment horizontal="center" vertical="center" wrapText="1"/>
    </xf>
    <xf numFmtId="0" fontId="42" fillId="7" borderId="37" xfId="0" applyFont="1" applyFill="1" applyBorder="1" applyAlignment="1" applyProtection="1">
      <alignment horizontal="center" vertical="center" wrapText="1"/>
    </xf>
    <xf numFmtId="0" fontId="42" fillId="7" borderId="38" xfId="0" applyFont="1" applyFill="1" applyBorder="1" applyAlignment="1" applyProtection="1">
      <alignment horizontal="center" vertical="center" wrapText="1"/>
    </xf>
    <xf numFmtId="0" fontId="42" fillId="7" borderId="39" xfId="0" applyFont="1" applyFill="1" applyBorder="1" applyAlignment="1" applyProtection="1">
      <alignment horizontal="center" vertical="center" wrapText="1"/>
    </xf>
    <xf numFmtId="0" fontId="42" fillId="0" borderId="33" xfId="0" applyFont="1" applyFill="1" applyBorder="1" applyAlignment="1" applyProtection="1">
      <alignment horizontal="center" vertical="center" wrapText="1"/>
    </xf>
    <xf numFmtId="0" fontId="43" fillId="0" borderId="33" xfId="0" applyFont="1" applyFill="1" applyBorder="1" applyAlignment="1" applyProtection="1">
      <alignment horizontal="center" vertical="center"/>
    </xf>
    <xf numFmtId="0" fontId="42" fillId="7" borderId="33" xfId="0" applyFont="1" applyFill="1" applyBorder="1" applyAlignment="1" applyProtection="1">
      <alignment horizontal="center" vertical="center" wrapText="1"/>
    </xf>
    <xf numFmtId="0" fontId="42" fillId="7" borderId="40" xfId="0" applyFont="1" applyFill="1" applyBorder="1" applyAlignment="1" applyProtection="1">
      <alignment horizontal="center" vertical="center" wrapText="1"/>
    </xf>
    <xf numFmtId="0" fontId="42" fillId="7" borderId="0" xfId="0" applyFont="1" applyFill="1" applyAlignment="1" applyProtection="1">
      <alignment horizontal="center" vertical="center" wrapText="1"/>
    </xf>
    <xf numFmtId="0" fontId="42" fillId="7" borderId="41" xfId="0" applyFont="1" applyFill="1" applyBorder="1" applyAlignment="1" applyProtection="1">
      <alignment horizontal="center" vertical="center" wrapText="1"/>
    </xf>
    <xf numFmtId="0" fontId="42" fillId="0" borderId="35" xfId="0" applyFont="1" applyFill="1" applyBorder="1" applyAlignment="1" applyProtection="1">
      <alignment horizontal="center" vertical="center" wrapText="1"/>
    </xf>
    <xf numFmtId="0" fontId="43" fillId="0" borderId="35" xfId="0" applyFont="1" applyFill="1" applyBorder="1" applyAlignment="1" applyProtection="1">
      <alignment horizontal="center" vertical="center"/>
    </xf>
    <xf numFmtId="0" fontId="42" fillId="7" borderId="35" xfId="0" applyFont="1" applyFill="1" applyBorder="1" applyAlignment="1" applyProtection="1">
      <alignment horizontal="center" vertical="center" wrapText="1"/>
    </xf>
    <xf numFmtId="0" fontId="42" fillId="7" borderId="42" xfId="0" applyFont="1" applyFill="1" applyBorder="1" applyAlignment="1" applyProtection="1">
      <alignment horizontal="center" vertical="center" wrapText="1"/>
    </xf>
    <xf numFmtId="0" fontId="42" fillId="7" borderId="43" xfId="0" applyFont="1" applyFill="1" applyBorder="1" applyAlignment="1" applyProtection="1">
      <alignment horizontal="center" vertical="center" wrapText="1"/>
    </xf>
    <xf numFmtId="0" fontId="42" fillId="7" borderId="44" xfId="0" applyFont="1" applyFill="1" applyBorder="1" applyAlignment="1" applyProtection="1">
      <alignment horizontal="center" vertical="center" wrapText="1"/>
    </xf>
    <xf numFmtId="0" fontId="42" fillId="0" borderId="36" xfId="0" applyFont="1" applyFill="1" applyBorder="1" applyAlignment="1" applyProtection="1">
      <alignment horizontal="center" vertical="center" wrapText="1"/>
    </xf>
    <xf numFmtId="0" fontId="43" fillId="0" borderId="34" xfId="0" applyFont="1" applyFill="1" applyBorder="1" applyAlignment="1" applyProtection="1">
      <alignment horizontal="center" vertical="center"/>
    </xf>
    <xf numFmtId="0" fontId="43" fillId="0" borderId="36" xfId="0" applyFont="1" applyFill="1" applyBorder="1" applyAlignment="1" applyProtection="1">
      <alignment horizontal="center" vertical="center"/>
    </xf>
    <xf numFmtId="0" fontId="42" fillId="7" borderId="36" xfId="0" applyFont="1" applyFill="1" applyBorder="1" applyAlignment="1" applyProtection="1">
      <alignment horizontal="center" vertical="center" wrapText="1"/>
    </xf>
    <xf numFmtId="0" fontId="42" fillId="0" borderId="34" xfId="0" applyFont="1" applyFill="1" applyBorder="1" applyAlignment="1" applyProtection="1">
      <alignment horizontal="center" vertical="center" wrapText="1"/>
    </xf>
    <xf numFmtId="0" fontId="43" fillId="7" borderId="33" xfId="0" applyFont="1" applyFill="1" applyBorder="1" applyAlignment="1" applyProtection="1">
      <alignment horizontal="center" vertical="center"/>
    </xf>
    <xf numFmtId="0" fontId="43" fillId="7" borderId="35" xfId="0" applyFont="1" applyFill="1" applyBorder="1" applyAlignment="1" applyProtection="1">
      <alignment horizontal="center" vertical="center"/>
    </xf>
    <xf numFmtId="0" fontId="43" fillId="7" borderId="36" xfId="0" applyFont="1" applyFill="1" applyBorder="1" applyAlignment="1" applyProtection="1">
      <alignment horizontal="center" vertical="center"/>
    </xf>
    <xf numFmtId="0" fontId="44" fillId="0" borderId="0" xfId="0" applyFont="1" applyAlignment="1">
      <alignment horizontal="center" vertical="center"/>
      <protection locked="0"/>
    </xf>
    <xf numFmtId="0" fontId="0" fillId="7" borderId="0" xfId="0" applyFont="1" applyFill="1">
      <alignment vertical="center"/>
      <protection locked="0"/>
    </xf>
    <xf numFmtId="0" fontId="19" fillId="0" borderId="0" xfId="0" applyFont="1">
      <alignment vertical="center"/>
      <protection locked="0"/>
    </xf>
    <xf numFmtId="0" fontId="44" fillId="0" borderId="0" xfId="0" applyFont="1">
      <alignment vertical="center"/>
      <protection locked="0"/>
    </xf>
    <xf numFmtId="0" fontId="0" fillId="7" borderId="0" xfId="0" applyFont="1" applyFill="1" applyAlignment="1">
      <alignment horizontal="center" vertical="center"/>
      <protection locked="0"/>
    </xf>
    <xf numFmtId="0" fontId="45" fillId="0" borderId="0" xfId="0" applyFont="1" applyFill="1" applyAlignment="1" applyProtection="1">
      <alignment vertical="center"/>
    </xf>
    <xf numFmtId="0" fontId="46" fillId="0" borderId="0" xfId="0" applyFont="1" applyFill="1" applyAlignment="1" applyProtection="1"/>
    <xf numFmtId="0" fontId="47" fillId="11" borderId="9" xfId="0" applyFont="1" applyFill="1" applyBorder="1" applyAlignment="1" applyProtection="1">
      <alignment horizontal="center" vertical="center" wrapText="1"/>
    </xf>
    <xf numFmtId="0" fontId="48" fillId="11" borderId="9" xfId="0" applyFont="1" applyFill="1" applyBorder="1" applyAlignment="1" applyProtection="1">
      <alignment horizontal="center" vertical="center" wrapText="1"/>
    </xf>
    <xf numFmtId="181" fontId="41" fillId="11" borderId="45" xfId="0" applyNumberFormat="1" applyFont="1" applyFill="1" applyBorder="1" applyAlignment="1" applyProtection="1">
      <alignment horizontal="center" vertical="center" wrapText="1"/>
    </xf>
    <xf numFmtId="181" fontId="41" fillId="11" borderId="46" xfId="0" applyNumberFormat="1" applyFont="1" applyFill="1" applyBorder="1" applyAlignment="1" applyProtection="1">
      <alignment horizontal="center" vertical="center" wrapText="1"/>
    </xf>
    <xf numFmtId="181" fontId="41" fillId="11" borderId="47" xfId="0" applyNumberFormat="1" applyFont="1" applyFill="1" applyBorder="1" applyAlignment="1" applyProtection="1">
      <alignment horizontal="center" vertical="center" wrapText="1"/>
    </xf>
    <xf numFmtId="0" fontId="49" fillId="11" borderId="9" xfId="0" applyFont="1" applyFill="1" applyBorder="1" applyAlignment="1" applyProtection="1">
      <alignment horizontal="center" vertical="center" wrapText="1"/>
    </xf>
    <xf numFmtId="0" fontId="50" fillId="11" borderId="9" xfId="0" applyFont="1" applyFill="1" applyBorder="1" applyAlignment="1" applyProtection="1">
      <alignment horizontal="center" vertical="center" wrapText="1"/>
    </xf>
    <xf numFmtId="0" fontId="16" fillId="11" borderId="9" xfId="0" applyFont="1" applyFill="1" applyBorder="1" applyAlignment="1" applyProtection="1">
      <alignment horizontal="center" vertical="center" wrapText="1"/>
    </xf>
    <xf numFmtId="181" fontId="41" fillId="11" borderId="9" xfId="0" applyNumberFormat="1" applyFont="1" applyFill="1" applyBorder="1" applyAlignment="1" applyProtection="1">
      <alignment horizontal="center" vertical="center" wrapText="1"/>
    </xf>
    <xf numFmtId="0" fontId="18" fillId="7" borderId="9" xfId="0" applyFont="1" applyFill="1" applyBorder="1" applyAlignment="1" applyProtection="1">
      <alignment horizontal="center" vertical="center" wrapText="1"/>
    </xf>
    <xf numFmtId="0" fontId="18" fillId="0" borderId="9" xfId="0" applyFont="1" applyFill="1" applyBorder="1" applyAlignment="1" applyProtection="1">
      <alignment horizontal="center" vertical="center"/>
    </xf>
    <xf numFmtId="177" fontId="51" fillId="0" borderId="9" xfId="0" applyNumberFormat="1" applyFont="1" applyBorder="1" applyAlignment="1">
      <alignment horizontal="center" vertical="center"/>
      <protection locked="0"/>
    </xf>
    <xf numFmtId="179" fontId="49" fillId="11" borderId="9" xfId="0" applyNumberFormat="1" applyFont="1" applyFill="1" applyBorder="1" applyAlignment="1" applyProtection="1">
      <alignment horizontal="center" vertical="center" wrapText="1"/>
    </xf>
    <xf numFmtId="179" fontId="51" fillId="0" borderId="9" xfId="0" applyNumberFormat="1" applyFont="1" applyBorder="1" applyAlignment="1">
      <alignment horizontal="center" vertical="center"/>
      <protection locked="0"/>
    </xf>
    <xf numFmtId="0" fontId="40" fillId="7" borderId="9" xfId="0" applyFont="1" applyFill="1" applyBorder="1" applyAlignment="1" applyProtection="1">
      <alignment horizontal="center" vertical="center" wrapText="1"/>
    </xf>
    <xf numFmtId="0" fontId="41" fillId="7" borderId="9" xfId="0" applyFont="1" applyFill="1" applyBorder="1" applyAlignment="1" applyProtection="1">
      <alignment horizontal="center" vertical="center" wrapText="1"/>
    </xf>
    <xf numFmtId="0" fontId="49" fillId="0" borderId="9" xfId="0" applyFont="1" applyFill="1" applyBorder="1" applyAlignment="1" applyProtection="1">
      <alignment horizontal="center" vertical="center"/>
    </xf>
    <xf numFmtId="0" fontId="52" fillId="7" borderId="25" xfId="0" applyFont="1" applyFill="1" applyBorder="1" applyAlignment="1" applyProtection="1">
      <alignment horizontal="center"/>
    </xf>
    <xf numFmtId="0" fontId="52" fillId="7" borderId="19" xfId="0" applyFont="1" applyFill="1" applyBorder="1" applyAlignment="1" applyProtection="1">
      <alignment horizontal="center"/>
    </xf>
    <xf numFmtId="0" fontId="45" fillId="7" borderId="9" xfId="0" applyFont="1" applyFill="1" applyBorder="1" applyAlignment="1" applyProtection="1">
      <alignment horizontal="center" vertical="center"/>
    </xf>
    <xf numFmtId="0" fontId="45" fillId="0" borderId="20" xfId="0" applyFont="1" applyFill="1" applyBorder="1" applyAlignment="1" applyProtection="1">
      <alignment vertical="center"/>
    </xf>
    <xf numFmtId="0" fontId="53" fillId="0" borderId="5" xfId="0" applyFont="1" applyBorder="1" applyAlignment="1">
      <alignment horizontal="center" vertical="center" wrapText="1"/>
      <protection locked="0"/>
    </xf>
    <xf numFmtId="0" fontId="54" fillId="0" borderId="9" xfId="0" applyFont="1" applyBorder="1">
      <alignment vertical="center"/>
      <protection locked="0"/>
    </xf>
    <xf numFmtId="0" fontId="0" fillId="0" borderId="26" xfId="0" applyFont="1" applyBorder="1" applyAlignment="1">
      <alignment horizontal="center" vertical="center"/>
      <protection locked="0"/>
    </xf>
    <xf numFmtId="0" fontId="0" fillId="0" borderId="27" xfId="0" applyFont="1" applyBorder="1" applyAlignment="1">
      <alignment horizontal="center" vertical="center"/>
      <protection locked="0"/>
    </xf>
    <xf numFmtId="182" fontId="0" fillId="4" borderId="9" xfId="0" applyNumberFormat="1" applyFont="1" applyFill="1" applyBorder="1">
      <alignment vertical="center"/>
      <protection locked="0"/>
    </xf>
    <xf numFmtId="177" fontId="0" fillId="4" borderId="9" xfId="0" applyNumberFormat="1" applyFont="1" applyFill="1" applyBorder="1">
      <alignment vertical="center"/>
      <protection locked="0"/>
    </xf>
    <xf numFmtId="0" fontId="0" fillId="0" borderId="28" xfId="0" applyFont="1" applyBorder="1" applyAlignment="1">
      <alignment horizontal="center" vertical="center"/>
      <protection locked="0"/>
    </xf>
    <xf numFmtId="0" fontId="0" fillId="0" borderId="10" xfId="0" applyFont="1" applyBorder="1" applyAlignment="1">
      <alignment horizontal="center" vertical="center"/>
      <protection locked="0"/>
    </xf>
    <xf numFmtId="0" fontId="0" fillId="0" borderId="8" xfId="0" applyFont="1" applyBorder="1" applyAlignment="1">
      <alignment horizontal="center" vertical="center"/>
      <protection locked="0"/>
    </xf>
    <xf numFmtId="0" fontId="0" fillId="4" borderId="9" xfId="0" applyFont="1" applyFill="1" applyBorder="1">
      <alignment vertical="center"/>
      <protection locked="0"/>
    </xf>
    <xf numFmtId="0" fontId="55" fillId="0" borderId="28" xfId="0" applyFont="1" applyBorder="1" applyAlignment="1">
      <alignment horizontal="center" vertical="center" wrapText="1"/>
      <protection locked="0"/>
    </xf>
    <xf numFmtId="0" fontId="13" fillId="0" borderId="5" xfId="0" applyFont="1" applyBorder="1" applyAlignment="1">
      <alignment horizontal="center" vertical="center" wrapText="1"/>
      <protection locked="0"/>
    </xf>
    <xf numFmtId="176" fontId="45" fillId="4" borderId="19" xfId="0" applyNumberFormat="1" applyFont="1" applyFill="1" applyBorder="1" applyAlignment="1" applyProtection="1">
      <alignment horizontal="center" vertical="center"/>
    </xf>
    <xf numFmtId="0" fontId="56" fillId="0" borderId="28" xfId="0" applyFont="1" applyBorder="1" applyAlignment="1">
      <alignment horizontal="center" vertical="center" wrapText="1"/>
      <protection locked="0"/>
    </xf>
    <xf numFmtId="0" fontId="13" fillId="0" borderId="7" xfId="0" applyFont="1" applyBorder="1" applyAlignment="1">
      <alignment horizontal="center" vertical="center" wrapText="1"/>
      <protection locked="0"/>
    </xf>
    <xf numFmtId="176" fontId="45" fillId="4" borderId="27" xfId="0" applyNumberFormat="1" applyFont="1" applyFill="1" applyBorder="1" applyAlignment="1" applyProtection="1">
      <alignment horizontal="center" vertical="center"/>
    </xf>
    <xf numFmtId="176" fontId="45" fillId="4" borderId="8" xfId="0" applyNumberFormat="1" applyFont="1" applyFill="1" applyBorder="1" applyAlignment="1" applyProtection="1">
      <alignment horizontal="center" vertical="center"/>
    </xf>
    <xf numFmtId="0" fontId="57" fillId="7" borderId="28" xfId="0" applyFont="1" applyFill="1" applyBorder="1" applyAlignment="1" applyProtection="1">
      <alignment horizontal="center" vertical="center"/>
    </xf>
    <xf numFmtId="0" fontId="57" fillId="7" borderId="8" xfId="0" applyFont="1" applyFill="1" applyBorder="1" applyAlignment="1" applyProtection="1">
      <alignment horizontal="center" vertical="center"/>
    </xf>
    <xf numFmtId="0" fontId="20" fillId="11" borderId="9" xfId="0" applyFont="1" applyFill="1" applyBorder="1" applyAlignment="1">
      <alignment horizontal="center" vertical="center"/>
      <protection locked="0"/>
    </xf>
    <xf numFmtId="0" fontId="58" fillId="0" borderId="9" xfId="0" applyFont="1" applyBorder="1" applyAlignment="1">
      <alignment horizontal="center" vertical="center" wrapText="1"/>
      <protection locked="0"/>
    </xf>
    <xf numFmtId="0" fontId="58" fillId="2" borderId="9" xfId="0" applyFont="1" applyFill="1" applyBorder="1" applyAlignment="1">
      <alignment horizontal="center" vertical="center" wrapText="1"/>
      <protection locked="0"/>
    </xf>
    <xf numFmtId="0" fontId="59" fillId="0" borderId="9" xfId="0" applyFont="1" applyBorder="1" applyAlignment="1">
      <alignment horizontal="center" vertical="center"/>
      <protection locked="0"/>
    </xf>
    <xf numFmtId="0" fontId="59" fillId="4" borderId="9" xfId="0" applyFont="1" applyFill="1" applyBorder="1" applyAlignment="1">
      <alignment horizontal="center" vertical="center"/>
      <protection locked="0"/>
    </xf>
    <xf numFmtId="179" fontId="32" fillId="2" borderId="9" xfId="0" applyNumberFormat="1" applyFont="1" applyFill="1" applyBorder="1" applyAlignment="1">
      <alignment horizontal="center" vertical="center"/>
      <protection locked="0"/>
    </xf>
    <xf numFmtId="0" fontId="32" fillId="2" borderId="9" xfId="0" applyFont="1" applyFill="1" applyBorder="1" applyAlignment="1">
      <alignment horizontal="center" vertical="center"/>
      <protection locked="0"/>
    </xf>
    <xf numFmtId="0" fontId="60" fillId="0" borderId="9" xfId="0" applyFont="1" applyBorder="1" applyAlignment="1">
      <alignment horizontal="center" vertical="center"/>
      <protection locked="0"/>
    </xf>
    <xf numFmtId="179" fontId="32" fillId="4" borderId="9" xfId="0" applyNumberFormat="1" applyFont="1" applyFill="1" applyBorder="1" applyAlignment="1">
      <alignment horizontal="center" vertical="center"/>
      <protection locked="0"/>
    </xf>
    <xf numFmtId="0" fontId="57" fillId="7" borderId="25" xfId="0" applyFont="1" applyFill="1" applyBorder="1" applyAlignment="1" applyProtection="1">
      <alignment horizontal="center" vertical="center"/>
    </xf>
    <xf numFmtId="0" fontId="57" fillId="7" borderId="20" xfId="0" applyFont="1" applyFill="1" applyBorder="1" applyAlignment="1" applyProtection="1">
      <alignment horizontal="center" vertical="center"/>
    </xf>
    <xf numFmtId="0" fontId="57" fillId="7" borderId="19" xfId="0" applyFont="1" applyFill="1" applyBorder="1" applyAlignment="1" applyProtection="1">
      <alignment horizontal="center" vertical="center"/>
    </xf>
    <xf numFmtId="179" fontId="18" fillId="0" borderId="27" xfId="0" applyNumberFormat="1" applyFont="1" applyFill="1" applyBorder="1" applyAlignment="1" applyProtection="1">
      <alignment horizontal="center" vertical="center"/>
    </xf>
    <xf numFmtId="179" fontId="18" fillId="0" borderId="8" xfId="0" applyNumberFormat="1" applyFont="1" applyFill="1" applyBorder="1" applyAlignment="1" applyProtection="1">
      <alignment horizontal="center" vertical="center"/>
    </xf>
    <xf numFmtId="0" fontId="61" fillId="7" borderId="25" xfId="0" applyFont="1" applyFill="1" applyBorder="1" applyAlignment="1" applyProtection="1"/>
    <xf numFmtId="0" fontId="61" fillId="7" borderId="48" xfId="0" applyFont="1" applyFill="1" applyBorder="1" applyAlignment="1" applyProtection="1"/>
    <xf numFmtId="0" fontId="62" fillId="7" borderId="6" xfId="0" applyFont="1" applyFill="1" applyBorder="1" applyAlignment="1">
      <alignment horizontal="center" vertical="center" wrapText="1"/>
      <protection locked="0"/>
    </xf>
    <xf numFmtId="0" fontId="2" fillId="6" borderId="6" xfId="0" applyFont="1" applyFill="1" applyBorder="1" applyAlignment="1">
      <alignment horizontal="center" vertical="center" wrapText="1"/>
      <protection locked="0"/>
    </xf>
    <xf numFmtId="179" fontId="63" fillId="0" borderId="6" xfId="0" applyNumberFormat="1" applyFont="1" applyFill="1" applyBorder="1" applyAlignment="1">
      <alignment horizontal="center" vertical="center" wrapText="1"/>
      <protection locked="0"/>
    </xf>
    <xf numFmtId="179" fontId="63" fillId="0" borderId="6" xfId="0" applyNumberFormat="1" applyFont="1" applyBorder="1" applyAlignment="1">
      <alignment horizontal="center" vertical="center" wrapText="1"/>
      <protection locked="0"/>
    </xf>
    <xf numFmtId="0" fontId="0" fillId="0" borderId="0" xfId="0" applyFont="1" applyBorder="1">
      <alignment vertical="center"/>
      <protection locked="0"/>
    </xf>
    <xf numFmtId="0" fontId="49" fillId="5" borderId="11" xfId="0" applyFont="1" applyFill="1" applyBorder="1" applyAlignment="1" applyProtection="1">
      <alignment horizontal="center" vertical="center" wrapText="1"/>
    </xf>
    <xf numFmtId="0" fontId="49" fillId="5" borderId="13" xfId="0" applyFont="1" applyFill="1" applyBorder="1" applyAlignment="1" applyProtection="1">
      <alignment horizontal="center" vertical="center" wrapText="1"/>
    </xf>
    <xf numFmtId="177" fontId="64" fillId="0" borderId="9" xfId="0" applyNumberFormat="1" applyFont="1" applyBorder="1" applyAlignment="1">
      <alignment horizontal="center" vertical="center"/>
      <protection locked="0"/>
    </xf>
    <xf numFmtId="179" fontId="49" fillId="6" borderId="9" xfId="0" applyNumberFormat="1" applyFont="1" applyFill="1" applyBorder="1" applyAlignment="1" applyProtection="1">
      <alignment horizontal="center" vertical="center" wrapText="1"/>
    </xf>
    <xf numFmtId="0" fontId="65" fillId="0" borderId="9" xfId="0" applyFont="1" applyFill="1" applyBorder="1" applyAlignment="1" applyProtection="1">
      <alignment horizontal="center" vertical="center"/>
    </xf>
    <xf numFmtId="0" fontId="66" fillId="0" borderId="9" xfId="0" applyFont="1" applyFill="1" applyBorder="1" applyAlignment="1" applyProtection="1">
      <alignment horizontal="center" vertical="center" wrapText="1"/>
    </xf>
    <xf numFmtId="0" fontId="67" fillId="0" borderId="9" xfId="0" applyFont="1" applyFill="1" applyBorder="1" applyAlignment="1" applyProtection="1">
      <alignment horizontal="center" vertical="center" wrapText="1"/>
    </xf>
    <xf numFmtId="179" fontId="64" fillId="0" borderId="9" xfId="0" applyNumberFormat="1" applyFont="1" applyBorder="1" applyAlignment="1">
      <alignment horizontal="center" vertical="center"/>
      <protection locked="0"/>
    </xf>
    <xf numFmtId="0" fontId="66" fillId="0" borderId="11" xfId="0" applyFont="1" applyFill="1" applyBorder="1" applyAlignment="1" applyProtection="1">
      <alignment horizontal="center" vertical="center" wrapText="1"/>
    </xf>
    <xf numFmtId="0" fontId="49" fillId="0" borderId="11" xfId="0" applyFont="1" applyFill="1" applyBorder="1" applyAlignment="1" applyProtection="1">
      <alignment horizontal="center" vertical="center" wrapText="1"/>
    </xf>
    <xf numFmtId="0" fontId="49" fillId="0" borderId="9" xfId="0" applyFont="1" applyFill="1" applyBorder="1" applyAlignment="1" applyProtection="1">
      <alignment horizontal="center" vertical="center" wrapText="1"/>
    </xf>
    <xf numFmtId="0" fontId="68" fillId="7" borderId="49" xfId="0" applyFont="1" applyFill="1" applyBorder="1" applyAlignment="1" applyProtection="1">
      <alignment horizontal="center" vertical="center" wrapText="1"/>
    </xf>
    <xf numFmtId="0" fontId="68" fillId="7" borderId="50" xfId="0" applyFont="1" applyFill="1" applyBorder="1" applyAlignment="1" applyProtection="1">
      <alignment horizontal="center" vertical="center" wrapText="1"/>
    </xf>
    <xf numFmtId="0" fontId="68" fillId="7" borderId="51" xfId="0" applyFont="1" applyFill="1" applyBorder="1" applyAlignment="1" applyProtection="1">
      <alignment horizontal="center" vertical="center" wrapText="1"/>
    </xf>
    <xf numFmtId="0" fontId="24" fillId="0" borderId="11" xfId="0" applyFont="1" applyFill="1" applyBorder="1" applyAlignment="1" applyProtection="1">
      <alignment horizontal="center" vertical="center" wrapText="1"/>
    </xf>
    <xf numFmtId="0" fontId="24" fillId="0" borderId="9" xfId="0" applyFont="1" applyFill="1" applyBorder="1" applyAlignment="1" applyProtection="1">
      <alignment horizontal="center" vertical="center" wrapText="1"/>
    </xf>
    <xf numFmtId="0" fontId="69" fillId="0" borderId="9" xfId="0" applyFont="1" applyFill="1" applyBorder="1" applyAlignment="1" applyProtection="1">
      <alignment horizontal="center" vertical="center" wrapText="1"/>
    </xf>
    <xf numFmtId="0" fontId="69" fillId="7" borderId="9" xfId="0" applyFont="1" applyFill="1" applyBorder="1" applyAlignment="1" applyProtection="1">
      <alignment horizontal="center" vertical="center" wrapText="1"/>
    </xf>
    <xf numFmtId="0" fontId="68" fillId="7" borderId="52" xfId="0" applyFont="1" applyFill="1" applyBorder="1" applyAlignment="1" applyProtection="1">
      <alignment horizontal="center" vertical="center" wrapText="1"/>
    </xf>
    <xf numFmtId="0" fontId="68" fillId="7" borderId="0" xfId="0" applyFont="1" applyFill="1" applyBorder="1" applyAlignment="1" applyProtection="1">
      <alignment horizontal="center" vertical="center" wrapText="1"/>
    </xf>
    <xf numFmtId="0" fontId="68" fillId="7" borderId="53" xfId="0" applyFont="1" applyFill="1" applyBorder="1" applyAlignment="1" applyProtection="1">
      <alignment horizontal="center" vertical="center" wrapText="1"/>
    </xf>
    <xf numFmtId="0" fontId="24" fillId="0" borderId="12" xfId="0" applyFont="1" applyFill="1" applyBorder="1" applyAlignment="1" applyProtection="1">
      <alignment horizontal="center" vertical="center" wrapText="1"/>
    </xf>
    <xf numFmtId="0" fontId="18" fillId="0" borderId="9" xfId="0" applyFont="1" applyFill="1" applyBorder="1" applyAlignment="1" applyProtection="1">
      <alignment horizontal="center" vertical="center" wrapText="1"/>
    </xf>
    <xf numFmtId="0" fontId="68" fillId="7" borderId="54" xfId="0" applyFont="1" applyFill="1" applyBorder="1" applyAlignment="1" applyProtection="1">
      <alignment horizontal="center" vertical="center" wrapText="1"/>
    </xf>
    <xf numFmtId="0" fontId="68" fillId="7" borderId="55" xfId="0" applyFont="1" applyFill="1" applyBorder="1" applyAlignment="1" applyProtection="1">
      <alignment horizontal="center" vertical="center" wrapText="1"/>
    </xf>
    <xf numFmtId="0" fontId="68" fillId="7" borderId="56" xfId="0" applyFont="1" applyFill="1" applyBorder="1" applyAlignment="1" applyProtection="1">
      <alignment horizontal="center" vertical="center" wrapText="1"/>
    </xf>
    <xf numFmtId="0" fontId="24" fillId="0" borderId="13" xfId="0" applyFont="1" applyFill="1" applyBorder="1" applyAlignment="1" applyProtection="1">
      <alignment horizontal="center" vertical="center" wrapText="1"/>
    </xf>
    <xf numFmtId="0" fontId="69" fillId="0" borderId="11" xfId="0" applyFont="1" applyFill="1" applyBorder="1" applyAlignment="1" applyProtection="1">
      <alignment horizontal="center" vertical="center" wrapText="1"/>
    </xf>
    <xf numFmtId="0" fontId="69" fillId="0" borderId="12" xfId="0" applyFont="1" applyFill="1" applyBorder="1" applyAlignment="1" applyProtection="1">
      <alignment horizontal="center" vertical="center" wrapText="1"/>
    </xf>
    <xf numFmtId="0" fontId="69" fillId="0" borderId="13" xfId="0" applyFont="1" applyFill="1" applyBorder="1" applyAlignment="1" applyProtection="1">
      <alignment horizontal="center" vertical="center" wrapText="1"/>
    </xf>
    <xf numFmtId="0" fontId="42" fillId="7" borderId="9" xfId="0" applyFont="1" applyFill="1" applyBorder="1" applyAlignment="1" applyProtection="1">
      <alignment horizontal="center" vertical="center" wrapText="1"/>
    </xf>
    <xf numFmtId="0" fontId="70" fillId="0" borderId="0" xfId="0" applyFont="1" applyFill="1" applyAlignment="1" applyProtection="1"/>
    <xf numFmtId="0" fontId="69" fillId="0" borderId="0" xfId="0" applyFont="1" applyFill="1" applyBorder="1" applyAlignment="1" applyProtection="1">
      <alignment horizontal="center" vertical="center" wrapText="1"/>
    </xf>
    <xf numFmtId="0" fontId="71" fillId="7" borderId="9" xfId="0" applyFont="1" applyFill="1" applyBorder="1" applyAlignment="1" applyProtection="1">
      <alignment horizontal="center" vertical="center" wrapText="1"/>
    </xf>
    <xf numFmtId="0" fontId="24" fillId="0" borderId="0" xfId="0" applyFont="1" applyFill="1" applyBorder="1" applyAlignment="1" applyProtection="1">
      <alignment vertical="center" wrapText="1"/>
    </xf>
    <xf numFmtId="0" fontId="15" fillId="0" borderId="0" xfId="0" applyFont="1" applyFill="1" applyAlignment="1" applyProtection="1"/>
    <xf numFmtId="0" fontId="72" fillId="0" borderId="0" xfId="0" applyFont="1">
      <alignment vertical="center"/>
      <protection locked="0"/>
    </xf>
    <xf numFmtId="0" fontId="73" fillId="8" borderId="9" xfId="0" applyFont="1" applyFill="1" applyBorder="1" applyAlignment="1" applyProtection="1">
      <alignment horizontal="center" vertical="center"/>
    </xf>
    <xf numFmtId="0" fontId="74" fillId="0" borderId="9" xfId="0" applyFont="1" applyBorder="1" applyAlignment="1" applyProtection="1">
      <alignment horizontal="center" vertical="center"/>
    </xf>
    <xf numFmtId="0" fontId="75" fillId="0" borderId="9" xfId="0" applyFont="1" applyBorder="1" applyAlignment="1">
      <alignment horizontal="center" vertical="center" wrapText="1"/>
      <protection locked="0"/>
    </xf>
    <xf numFmtId="179" fontId="74" fillId="0" borderId="9" xfId="0" applyNumberFormat="1" applyFont="1" applyBorder="1" applyAlignment="1" applyProtection="1">
      <alignment horizontal="center" vertical="center"/>
    </xf>
    <xf numFmtId="10" fontId="74" fillId="0" borderId="9" xfId="0" applyNumberFormat="1" applyFont="1" applyBorder="1" applyAlignment="1" applyProtection="1">
      <alignment horizontal="center" vertical="center"/>
    </xf>
    <xf numFmtId="0" fontId="74" fillId="7" borderId="9" xfId="0" applyFont="1" applyFill="1" applyBorder="1" applyAlignment="1" applyProtection="1">
      <alignment horizontal="center" vertical="center"/>
    </xf>
    <xf numFmtId="0" fontId="76" fillId="0" borderId="9" xfId="0" applyFont="1" applyBorder="1" applyAlignment="1" applyProtection="1">
      <alignment horizontal="center" vertical="center" wrapText="1"/>
    </xf>
    <xf numFmtId="0" fontId="74" fillId="0" borderId="9" xfId="0" applyFont="1" applyBorder="1" applyAlignment="1" applyProtection="1">
      <alignment horizontal="center" vertical="top"/>
    </xf>
    <xf numFmtId="0" fontId="74" fillId="0" borderId="9" xfId="0" applyFont="1" applyFill="1" applyBorder="1" applyAlignment="1" applyProtection="1">
      <alignment horizontal="center" vertical="center"/>
    </xf>
    <xf numFmtId="0" fontId="77" fillId="0" borderId="9" xfId="0" applyFont="1" applyFill="1" applyBorder="1" applyAlignment="1" applyProtection="1">
      <alignment horizontal="center" vertical="center"/>
    </xf>
    <xf numFmtId="0" fontId="74" fillId="0" borderId="9" xfId="0" applyFont="1" applyFill="1" applyBorder="1" applyAlignment="1" applyProtection="1">
      <alignment horizontal="center" vertical="center" wrapText="1"/>
    </xf>
    <xf numFmtId="0" fontId="78" fillId="0" borderId="9" xfId="0" applyFont="1" applyBorder="1" applyAlignment="1" applyProtection="1">
      <alignment horizontal="center" vertical="center"/>
    </xf>
    <xf numFmtId="0" fontId="79" fillId="0" borderId="9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top"/>
    </xf>
    <xf numFmtId="0" fontId="1" fillId="0" borderId="9" xfId="0" applyFont="1" applyBorder="1" applyAlignment="1" applyProtection="1">
      <alignment horizontal="center" vertical="center"/>
    </xf>
    <xf numFmtId="179" fontId="1" fillId="0" borderId="9" xfId="0" applyNumberFormat="1" applyFont="1" applyBorder="1" applyAlignment="1" applyProtection="1">
      <alignment horizontal="center" vertical="center"/>
    </xf>
    <xf numFmtId="10" fontId="1" fillId="0" borderId="9" xfId="0" applyNumberFormat="1" applyFont="1" applyBorder="1" applyAlignment="1" applyProtection="1">
      <alignment horizontal="center" vertical="center"/>
    </xf>
    <xf numFmtId="0" fontId="80" fillId="0" borderId="9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top"/>
    </xf>
    <xf numFmtId="0" fontId="81" fillId="0" borderId="9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top"/>
    </xf>
    <xf numFmtId="0" fontId="1" fillId="0" borderId="11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9" xfId="0" applyFont="1" applyBorder="1" applyProtection="1">
      <alignment vertical="center"/>
    </xf>
    <xf numFmtId="176" fontId="1" fillId="0" borderId="11" xfId="0" applyNumberFormat="1" applyFont="1" applyBorder="1" applyAlignment="1" applyProtection="1">
      <alignment horizontal="center" vertical="center"/>
    </xf>
    <xf numFmtId="0" fontId="82" fillId="0" borderId="11" xfId="0" applyFont="1" applyBorder="1" applyAlignment="1" applyProtection="1">
      <alignment horizontal="center" vertical="center"/>
    </xf>
    <xf numFmtId="0" fontId="83" fillId="0" borderId="9" xfId="0" applyFont="1" applyBorder="1" applyAlignment="1" applyProtection="1">
      <alignment horizontal="center" vertical="center" wrapText="1"/>
    </xf>
    <xf numFmtId="176" fontId="1" fillId="0" borderId="12" xfId="0" applyNumberFormat="1" applyFont="1" applyBorder="1" applyAlignment="1" applyProtection="1">
      <alignment horizontal="center" vertical="center"/>
    </xf>
    <xf numFmtId="0" fontId="84" fillId="0" borderId="9" xfId="0" applyFont="1" applyBorder="1" applyAlignment="1" applyProtection="1">
      <alignment horizontal="center" vertical="center"/>
    </xf>
    <xf numFmtId="0" fontId="1" fillId="0" borderId="11" xfId="0" applyFont="1" applyBorder="1" applyProtection="1">
      <alignment vertical="center"/>
    </xf>
    <xf numFmtId="176" fontId="1" fillId="0" borderId="9" xfId="0" applyNumberFormat="1" applyFont="1" applyBorder="1" applyAlignment="1" applyProtection="1">
      <alignment horizontal="center" vertical="center"/>
    </xf>
    <xf numFmtId="176" fontId="1" fillId="0" borderId="13" xfId="0" applyNumberFormat="1" applyFont="1" applyBorder="1" applyAlignment="1" applyProtection="1">
      <alignment horizontal="center" vertical="center"/>
    </xf>
    <xf numFmtId="0" fontId="85" fillId="0" borderId="57" xfId="0" applyFont="1" applyFill="1" applyBorder="1" applyAlignment="1" applyProtection="1">
      <alignment horizontal="center" vertical="center"/>
    </xf>
    <xf numFmtId="0" fontId="85" fillId="8" borderId="48" xfId="0" applyFont="1" applyFill="1" applyBorder="1" applyAlignment="1" applyProtection="1">
      <alignment horizontal="center" vertical="center"/>
    </xf>
    <xf numFmtId="0" fontId="85" fillId="8" borderId="32" xfId="0" applyFont="1" applyFill="1" applyBorder="1" applyAlignment="1" applyProtection="1">
      <alignment horizontal="center" vertical="center"/>
    </xf>
    <xf numFmtId="0" fontId="86" fillId="7" borderId="29" xfId="0" applyFont="1" applyFill="1" applyBorder="1" applyAlignment="1" applyProtection="1">
      <alignment horizontal="center" vertical="center"/>
    </xf>
    <xf numFmtId="0" fontId="85" fillId="8" borderId="9" xfId="0" applyFont="1" applyFill="1" applyBorder="1" applyAlignment="1" applyProtection="1">
      <alignment horizontal="center" vertical="center"/>
    </xf>
    <xf numFmtId="0" fontId="85" fillId="8" borderId="58" xfId="0" applyFont="1" applyFill="1" applyBorder="1" applyAlignment="1" applyProtection="1">
      <alignment horizontal="center" vertical="center"/>
    </xf>
    <xf numFmtId="0" fontId="85" fillId="8" borderId="29" xfId="0" applyFont="1" applyFill="1" applyBorder="1" applyAlignment="1" applyProtection="1">
      <alignment horizontal="center" vertical="center"/>
    </xf>
    <xf numFmtId="0" fontId="85" fillId="18" borderId="30" xfId="0" applyFont="1" applyFill="1" applyBorder="1" applyAlignment="1" applyProtection="1">
      <alignment horizontal="center" vertical="center"/>
    </xf>
    <xf numFmtId="176" fontId="85" fillId="18" borderId="31" xfId="0" applyNumberFormat="1" applyFont="1" applyFill="1" applyBorder="1" applyAlignment="1" applyProtection="1">
      <alignment horizontal="center" vertical="center"/>
    </xf>
    <xf numFmtId="0" fontId="85" fillId="8" borderId="59" xfId="0" applyFont="1" applyFill="1" applyBorder="1" applyAlignment="1" applyProtection="1">
      <alignment horizontal="center" vertical="center"/>
    </xf>
    <xf numFmtId="0" fontId="24" fillId="0" borderId="0" xfId="0" applyFont="1" applyBorder="1" applyAlignment="1">
      <alignment horizontal="center" vertical="center" wrapText="1"/>
      <protection locked="0"/>
    </xf>
    <xf numFmtId="0" fontId="87" fillId="0" borderId="0" xfId="0" applyFont="1" applyAlignment="1">
      <alignment horizontal="justify" vertical="center"/>
      <protection locked="0"/>
    </xf>
    <xf numFmtId="0" fontId="0" fillId="0" borderId="47" xfId="0" applyFont="1" applyBorder="1">
      <alignment vertical="center"/>
      <protection locked="0"/>
    </xf>
    <xf numFmtId="0" fontId="15" fillId="0" borderId="0" xfId="0" applyFont="1" applyAlignment="1" applyProtection="1">
      <alignment horizontal="center"/>
    </xf>
    <xf numFmtId="0" fontId="10" fillId="8" borderId="34" xfId="0" applyFont="1" applyFill="1" applyBorder="1" applyAlignment="1" applyProtection="1">
      <alignment horizontal="center" vertical="center" wrapText="1"/>
    </xf>
    <xf numFmtId="0" fontId="88" fillId="8" borderId="34" xfId="0" applyFont="1" applyFill="1" applyBorder="1" applyAlignment="1" applyProtection="1">
      <alignment horizontal="center" vertical="center" wrapText="1"/>
    </xf>
    <xf numFmtId="0" fontId="89" fillId="0" borderId="5" xfId="0" applyFont="1" applyFill="1" applyBorder="1" applyAlignment="1">
      <alignment horizontal="center" vertical="center" wrapText="1"/>
      <protection locked="0"/>
    </xf>
    <xf numFmtId="0" fontId="89" fillId="0" borderId="5" xfId="0" applyFont="1" applyBorder="1" applyAlignment="1">
      <alignment horizontal="center" vertical="center" wrapText="1"/>
      <protection locked="0"/>
    </xf>
    <xf numFmtId="0" fontId="89" fillId="0" borderId="7" xfId="0" applyFont="1" applyFill="1" applyBorder="1" applyAlignment="1">
      <alignment horizontal="center" vertical="center" wrapText="1"/>
      <protection locked="0"/>
    </xf>
    <xf numFmtId="0" fontId="89" fillId="0" borderId="7" xfId="0" applyFont="1" applyBorder="1" applyAlignment="1">
      <alignment horizontal="center" vertical="center" wrapText="1"/>
      <protection locked="0"/>
    </xf>
    <xf numFmtId="0" fontId="90" fillId="0" borderId="7" xfId="0" applyFont="1" applyFill="1" applyBorder="1" applyAlignment="1">
      <alignment horizontal="center" vertical="center" wrapText="1"/>
      <protection locked="0"/>
    </xf>
    <xf numFmtId="0" fontId="90" fillId="0" borderId="7" xfId="0" applyFont="1" applyBorder="1" applyAlignment="1">
      <alignment horizontal="center" vertical="center" wrapText="1"/>
      <protection locked="0"/>
    </xf>
    <xf numFmtId="179" fontId="10" fillId="0" borderId="34" xfId="0" applyNumberFormat="1" applyFont="1" applyBorder="1" applyAlignment="1" applyProtection="1">
      <alignment horizontal="center" vertical="center" wrapText="1"/>
    </xf>
    <xf numFmtId="0" fontId="88" fillId="19" borderId="34" xfId="0" applyFont="1" applyFill="1" applyBorder="1" applyAlignment="1" applyProtection="1">
      <alignment horizontal="center" vertical="center" wrapText="1"/>
    </xf>
    <xf numFmtId="10" fontId="10" fillId="0" borderId="34" xfId="0" applyNumberFormat="1" applyFont="1" applyBorder="1" applyAlignment="1" applyProtection="1">
      <alignment horizontal="left" vertical="center" wrapText="1"/>
    </xf>
    <xf numFmtId="0" fontId="10" fillId="19" borderId="34" xfId="0" applyFont="1" applyFill="1" applyBorder="1" applyAlignment="1" applyProtection="1">
      <alignment horizontal="center" vertical="center" wrapText="1"/>
    </xf>
    <xf numFmtId="0" fontId="88" fillId="20" borderId="34" xfId="0" applyFont="1" applyFill="1" applyBorder="1" applyAlignment="1" applyProtection="1">
      <alignment horizontal="center" vertical="center" wrapText="1"/>
    </xf>
    <xf numFmtId="179" fontId="10" fillId="0" borderId="34" xfId="0" applyNumberFormat="1" applyFont="1" applyBorder="1" applyAlignment="1" applyProtection="1">
      <alignment horizontal="left" vertical="center" wrapText="1"/>
    </xf>
    <xf numFmtId="0" fontId="88" fillId="4" borderId="33" xfId="0" applyFont="1" applyFill="1" applyBorder="1" applyAlignment="1" applyProtection="1">
      <alignment horizontal="center" vertical="center" wrapText="1"/>
    </xf>
    <xf numFmtId="0" fontId="88" fillId="4" borderId="34" xfId="0" applyFont="1" applyFill="1" applyBorder="1" applyAlignment="1" applyProtection="1">
      <alignment horizontal="center" vertical="center" wrapText="1"/>
    </xf>
    <xf numFmtId="0" fontId="10" fillId="4" borderId="34" xfId="0" applyFont="1" applyFill="1" applyBorder="1" applyAlignment="1" applyProtection="1">
      <alignment horizontal="center" vertical="center" wrapText="1"/>
    </xf>
    <xf numFmtId="0" fontId="10" fillId="4" borderId="36" xfId="0" applyFont="1" applyFill="1" applyBorder="1" applyAlignment="1" applyProtection="1">
      <alignment horizontal="center" vertical="center" wrapText="1"/>
    </xf>
    <xf numFmtId="0" fontId="88" fillId="9" borderId="34" xfId="0" applyFont="1" applyFill="1" applyBorder="1" applyAlignment="1" applyProtection="1">
      <alignment horizontal="center" vertical="center" wrapText="1"/>
    </xf>
    <xf numFmtId="0" fontId="10" fillId="9" borderId="34" xfId="0" applyFont="1" applyFill="1" applyBorder="1" applyAlignment="1" applyProtection="1">
      <alignment horizontal="center" vertical="center" wrapText="1"/>
    </xf>
    <xf numFmtId="0" fontId="10" fillId="20" borderId="34" xfId="0" applyFont="1" applyFill="1" applyBorder="1" applyAlignment="1" applyProtection="1">
      <alignment horizontal="center" vertical="center" wrapText="1"/>
    </xf>
    <xf numFmtId="0" fontId="91" fillId="5" borderId="9" xfId="0" applyFont="1" applyFill="1" applyBorder="1" applyAlignment="1" applyProtection="1">
      <alignment horizontal="center" vertical="center"/>
    </xf>
    <xf numFmtId="0" fontId="92" fillId="5" borderId="9" xfId="0" applyFont="1" applyFill="1" applyBorder="1" applyAlignment="1" applyProtection="1">
      <alignment horizontal="center" vertical="center"/>
    </xf>
    <xf numFmtId="0" fontId="92" fillId="8" borderId="9" xfId="0" applyFont="1" applyFill="1" applyBorder="1" applyAlignment="1" applyProtection="1">
      <alignment horizontal="center" vertical="center"/>
    </xf>
    <xf numFmtId="0" fontId="91" fillId="8" borderId="9" xfId="0" applyFont="1" applyFill="1" applyBorder="1" applyAlignment="1" applyProtection="1">
      <alignment horizontal="center" vertical="center"/>
    </xf>
    <xf numFmtId="0" fontId="93" fillId="3" borderId="9" xfId="0" applyFont="1" applyFill="1" applyBorder="1" applyAlignment="1" applyProtection="1">
      <alignment horizontal="center" vertical="center"/>
    </xf>
    <xf numFmtId="0" fontId="94" fillId="3" borderId="9" xfId="0" applyFont="1" applyFill="1" applyBorder="1" applyAlignment="1" applyProtection="1">
      <alignment horizontal="center" vertical="center"/>
    </xf>
    <xf numFmtId="0" fontId="12" fillId="4" borderId="9" xfId="0" applyFont="1" applyFill="1" applyBorder="1" applyAlignment="1">
      <alignment horizontal="center" vertical="center"/>
      <protection locked="0"/>
    </xf>
    <xf numFmtId="0" fontId="95" fillId="5" borderId="9" xfId="0" applyFont="1" applyFill="1" applyBorder="1" applyAlignment="1">
      <alignment horizontal="center" vertical="center"/>
      <protection locked="0"/>
    </xf>
    <xf numFmtId="0" fontId="8" fillId="0" borderId="9" xfId="0" applyFont="1" applyBorder="1" applyAlignment="1">
      <alignment horizontal="center" vertical="center" wrapText="1"/>
      <protection locked="0"/>
    </xf>
    <xf numFmtId="10" fontId="96" fillId="5" borderId="9" xfId="0" applyNumberFormat="1" applyFont="1" applyFill="1" applyBorder="1" applyAlignment="1">
      <alignment horizontal="center" vertical="center"/>
      <protection locked="0"/>
    </xf>
    <xf numFmtId="0" fontId="97" fillId="0" borderId="9" xfId="0" applyFont="1" applyBorder="1" applyAlignment="1">
      <alignment horizontal="center" vertical="center" wrapText="1"/>
      <protection locked="0"/>
    </xf>
    <xf numFmtId="0" fontId="98" fillId="9" borderId="9" xfId="0" applyFont="1" applyFill="1" applyBorder="1" applyAlignment="1" applyProtection="1">
      <alignment horizontal="left" vertical="center" wrapText="1"/>
    </xf>
    <xf numFmtId="0" fontId="99" fillId="21" borderId="9" xfId="0" applyFont="1" applyFill="1" applyBorder="1" applyAlignment="1" applyProtection="1">
      <alignment horizontal="center" vertical="center" wrapText="1"/>
    </xf>
    <xf numFmtId="0" fontId="100" fillId="0" borderId="0" xfId="0" applyFont="1" applyFill="1" applyBorder="1" applyAlignment="1" applyProtection="1">
      <alignment horizontal="center" vertical="center"/>
    </xf>
    <xf numFmtId="0" fontId="101" fillId="9" borderId="9" xfId="0" applyFont="1" applyFill="1" applyBorder="1" applyAlignment="1" applyProtection="1">
      <alignment horizontal="left" vertical="center" wrapText="1"/>
    </xf>
    <xf numFmtId="0" fontId="102" fillId="21" borderId="9" xfId="0" applyFont="1" applyFill="1" applyBorder="1" applyAlignment="1" applyProtection="1">
      <alignment horizontal="center" vertical="center"/>
    </xf>
    <xf numFmtId="0" fontId="103" fillId="21" borderId="9" xfId="0" applyFont="1" applyFill="1" applyBorder="1" applyAlignment="1" applyProtection="1">
      <alignment horizontal="center" vertical="center"/>
    </xf>
    <xf numFmtId="0" fontId="104" fillId="21" borderId="9" xfId="0" applyFont="1" applyFill="1" applyBorder="1" applyAlignment="1" applyProtection="1">
      <alignment horizontal="center" vertical="center"/>
    </xf>
    <xf numFmtId="0" fontId="99" fillId="21" borderId="9" xfId="0" applyFont="1" applyFill="1" applyBorder="1" applyAlignment="1" applyProtection="1">
      <alignment horizontal="center" vertical="center"/>
    </xf>
    <xf numFmtId="0" fontId="105" fillId="0" borderId="9" xfId="0" applyFont="1" applyFill="1" applyBorder="1" applyAlignment="1" applyProtection="1">
      <alignment horizontal="center" vertical="center" wrapText="1"/>
    </xf>
    <xf numFmtId="178" fontId="106" fillId="4" borderId="9" xfId="0" applyNumberFormat="1" applyFont="1" applyFill="1" applyBorder="1" applyAlignment="1" applyProtection="1">
      <alignment horizontal="center" vertical="center" wrapText="1"/>
    </xf>
    <xf numFmtId="0" fontId="107" fillId="0" borderId="0" xfId="0" applyFont="1" applyFill="1" applyBorder="1" applyAlignment="1" applyProtection="1">
      <alignment horizontal="center" vertical="center"/>
    </xf>
    <xf numFmtId="179" fontId="99" fillId="4" borderId="9" xfId="0" applyNumberFormat="1" applyFont="1" applyFill="1" applyBorder="1" applyAlignment="1" applyProtection="1">
      <alignment horizontal="center" vertical="center"/>
    </xf>
    <xf numFmtId="179" fontId="106" fillId="4" borderId="9" xfId="0" applyNumberFormat="1" applyFont="1" applyFill="1" applyBorder="1" applyAlignment="1" applyProtection="1">
      <alignment horizontal="center" vertical="center" wrapText="1"/>
    </xf>
    <xf numFmtId="10" fontId="99" fillId="4" borderId="9" xfId="0" applyNumberFormat="1" applyFont="1" applyFill="1" applyBorder="1" applyAlignment="1" applyProtection="1">
      <alignment horizontal="center" vertical="center"/>
    </xf>
    <xf numFmtId="0" fontId="108" fillId="3" borderId="9" xfId="0" applyFont="1" applyFill="1" applyBorder="1" applyAlignment="1" applyProtection="1">
      <alignment horizontal="center" vertical="center"/>
    </xf>
    <xf numFmtId="0" fontId="109" fillId="3" borderId="9" xfId="0" applyFont="1" applyFill="1" applyBorder="1" applyAlignment="1" applyProtection="1">
      <alignment horizontal="center" vertical="center"/>
    </xf>
    <xf numFmtId="0" fontId="108" fillId="0" borderId="0" xfId="0" applyFont="1" applyFill="1" applyBorder="1" applyAlignment="1" applyProtection="1">
      <alignment horizontal="center" vertical="center"/>
    </xf>
    <xf numFmtId="0" fontId="110" fillId="0" borderId="0" xfId="0" applyFont="1" applyFill="1" applyBorder="1" applyAlignment="1" applyProtection="1">
      <alignment horizontal="center" vertical="center"/>
    </xf>
    <xf numFmtId="0" fontId="106" fillId="0" borderId="0" xfId="0" applyFont="1" applyFill="1" applyAlignment="1" applyProtection="1">
      <alignment horizontal="left" vertical="center"/>
    </xf>
    <xf numFmtId="0" fontId="106" fillId="0" borderId="0" xfId="0" applyFont="1" applyFill="1" applyAlignment="1" applyProtection="1">
      <alignment horizontal="center" vertical="center"/>
    </xf>
    <xf numFmtId="0" fontId="106" fillId="0" borderId="0" xfId="0" applyFont="1" applyFill="1" applyAlignment="1" applyProtection="1">
      <alignment vertical="center"/>
    </xf>
    <xf numFmtId="0" fontId="111" fillId="9" borderId="9" xfId="0" applyFont="1" applyFill="1" applyBorder="1" applyAlignment="1" applyProtection="1">
      <alignment horizontal="center" vertical="center" wrapText="1"/>
    </xf>
    <xf numFmtId="0" fontId="104" fillId="21" borderId="9" xfId="0" applyFont="1" applyFill="1" applyBorder="1" applyAlignment="1" applyProtection="1">
      <alignment horizontal="center" vertical="center" wrapText="1"/>
    </xf>
    <xf numFmtId="0" fontId="112" fillId="21" borderId="52" xfId="0" applyFont="1" applyFill="1" applyBorder="1" applyAlignment="1" applyProtection="1">
      <alignment horizontal="center" vertical="center"/>
    </xf>
    <xf numFmtId="0" fontId="113" fillId="21" borderId="0" xfId="0" applyFont="1" applyFill="1" applyBorder="1" applyAlignment="1" applyProtection="1">
      <alignment horizontal="center" vertical="center"/>
    </xf>
    <xf numFmtId="0" fontId="114" fillId="9" borderId="9" xfId="0" applyFont="1" applyFill="1" applyBorder="1" applyAlignment="1" applyProtection="1">
      <alignment horizontal="center" vertical="center" wrapText="1"/>
    </xf>
    <xf numFmtId="0" fontId="113" fillId="21" borderId="54" xfId="0" applyFont="1" applyFill="1" applyBorder="1" applyAlignment="1" applyProtection="1">
      <alignment horizontal="center" vertical="center"/>
    </xf>
    <xf numFmtId="0" fontId="113" fillId="21" borderId="55" xfId="0" applyFont="1" applyFill="1" applyBorder="1" applyAlignment="1" applyProtection="1">
      <alignment horizontal="center" vertical="center"/>
    </xf>
    <xf numFmtId="0" fontId="115" fillId="21" borderId="9" xfId="0" applyFont="1" applyFill="1" applyBorder="1" applyAlignment="1" applyProtection="1">
      <alignment horizontal="center" vertical="center"/>
    </xf>
    <xf numFmtId="0" fontId="116" fillId="0" borderId="9" xfId="0" applyFont="1" applyFill="1" applyBorder="1" applyAlignment="1" applyProtection="1">
      <alignment horizontal="center" vertical="center" wrapText="1"/>
    </xf>
    <xf numFmtId="0" fontId="99" fillId="4" borderId="9" xfId="0" applyFont="1" applyFill="1" applyBorder="1" applyAlignment="1" applyProtection="1">
      <alignment horizontal="center" vertical="center"/>
    </xf>
    <xf numFmtId="0" fontId="117" fillId="21" borderId="9" xfId="0" applyFont="1" applyFill="1" applyBorder="1" applyAlignment="1" applyProtection="1">
      <alignment horizontal="center" vertical="center"/>
    </xf>
    <xf numFmtId="0" fontId="118" fillId="21" borderId="9" xfId="0" applyFont="1" applyFill="1" applyBorder="1" applyAlignment="1" applyProtection="1">
      <alignment horizontal="center" vertical="center"/>
    </xf>
    <xf numFmtId="0" fontId="119" fillId="21" borderId="9" xfId="0" applyFont="1" applyFill="1" applyBorder="1" applyAlignment="1" applyProtection="1">
      <alignment horizontal="center" vertical="center"/>
    </xf>
    <xf numFmtId="0" fontId="120" fillId="4" borderId="9" xfId="0" applyFont="1" applyFill="1" applyBorder="1" applyAlignment="1" applyProtection="1">
      <alignment horizontal="center" vertical="center"/>
    </xf>
    <xf numFmtId="0" fontId="100" fillId="0" borderId="0" xfId="0" applyFont="1" applyFill="1" applyBorder="1" applyAlignment="1" applyProtection="1">
      <alignment horizontal="left" vertical="center"/>
    </xf>
    <xf numFmtId="0" fontId="100" fillId="18" borderId="45" xfId="0" applyFont="1" applyFill="1" applyBorder="1" applyAlignment="1" applyProtection="1">
      <alignment horizontal="center" vertical="center"/>
    </xf>
    <xf numFmtId="0" fontId="100" fillId="18" borderId="46" xfId="0" applyFont="1" applyFill="1" applyBorder="1" applyAlignment="1" applyProtection="1">
      <alignment horizontal="center" vertical="center"/>
    </xf>
    <xf numFmtId="0" fontId="100" fillId="18" borderId="47" xfId="0" applyFont="1" applyFill="1" applyBorder="1" applyAlignment="1" applyProtection="1">
      <alignment horizontal="center" vertical="center"/>
    </xf>
    <xf numFmtId="0" fontId="100" fillId="18" borderId="9" xfId="0" applyFont="1" applyFill="1" applyBorder="1" applyAlignment="1" applyProtection="1">
      <alignment horizontal="center" vertical="center"/>
    </xf>
    <xf numFmtId="0" fontId="121" fillId="18" borderId="9" xfId="0" applyFont="1" applyFill="1" applyBorder="1" applyAlignment="1" applyProtection="1">
      <alignment horizontal="center" vertical="center"/>
    </xf>
    <xf numFmtId="0" fontId="100" fillId="21" borderId="52" xfId="0" applyFont="1" applyFill="1" applyBorder="1" applyAlignment="1" applyProtection="1">
      <alignment horizontal="center" vertical="center"/>
    </xf>
    <xf numFmtId="0" fontId="100" fillId="21" borderId="0" xfId="0" applyFont="1" applyFill="1" applyBorder="1" applyAlignment="1" applyProtection="1">
      <alignment horizontal="center" vertical="center"/>
    </xf>
    <xf numFmtId="0" fontId="100" fillId="21" borderId="54" xfId="0" applyFont="1" applyFill="1" applyBorder="1" applyAlignment="1" applyProtection="1">
      <alignment horizontal="center" vertical="center"/>
    </xf>
    <xf numFmtId="0" fontId="100" fillId="21" borderId="55" xfId="0" applyFont="1" applyFill="1" applyBorder="1" applyAlignment="1" applyProtection="1">
      <alignment horizontal="center" vertical="center"/>
    </xf>
    <xf numFmtId="178" fontId="99" fillId="4" borderId="9" xfId="0" applyNumberFormat="1" applyFont="1" applyFill="1" applyBorder="1" applyAlignment="1" applyProtection="1">
      <alignment horizontal="center" vertical="center"/>
    </xf>
    <xf numFmtId="0" fontId="92" fillId="22" borderId="9" xfId="0" applyFont="1" applyFill="1" applyBorder="1" applyAlignment="1" applyProtection="1">
      <alignment horizontal="center" vertical="center"/>
    </xf>
    <xf numFmtId="0" fontId="9" fillId="4" borderId="9" xfId="0" applyFont="1" applyFill="1" applyBorder="1" applyAlignment="1">
      <alignment horizontal="center" vertical="center"/>
      <protection locked="0"/>
    </xf>
    <xf numFmtId="0" fontId="122" fillId="5" borderId="9" xfId="0" applyFont="1" applyFill="1" applyBorder="1" applyAlignment="1">
      <alignment horizontal="center" vertical="center"/>
      <protection locked="0"/>
    </xf>
    <xf numFmtId="10" fontId="122" fillId="5" borderId="9" xfId="0" applyNumberFormat="1" applyFont="1" applyFill="1" applyBorder="1" applyAlignment="1">
      <alignment horizontal="center" vertical="center"/>
      <protection locked="0"/>
    </xf>
    <xf numFmtId="0" fontId="111" fillId="9" borderId="9" xfId="0" applyFont="1" applyFill="1" applyBorder="1" applyAlignment="1" applyProtection="1">
      <alignment horizontal="left" vertical="center" wrapText="1"/>
    </xf>
    <xf numFmtId="0" fontId="114" fillId="9" borderId="9" xfId="0" applyFont="1" applyFill="1" applyBorder="1" applyAlignment="1" applyProtection="1">
      <alignment horizontal="left" vertical="center" wrapText="1"/>
    </xf>
    <xf numFmtId="0" fontId="106" fillId="4" borderId="9" xfId="0" applyFont="1" applyFill="1" applyBorder="1" applyAlignment="1" applyProtection="1">
      <alignment horizontal="center" vertical="center" wrapText="1"/>
    </xf>
    <xf numFmtId="0" fontId="123" fillId="21" borderId="9" xfId="0" applyFont="1" applyFill="1" applyBorder="1" applyAlignment="1" applyProtection="1">
      <alignment horizontal="center" vertical="center"/>
    </xf>
    <xf numFmtId="0" fontId="119" fillId="4" borderId="9" xfId="0" applyFont="1" applyFill="1" applyBorder="1" applyAlignment="1" applyProtection="1">
      <alignment horizontal="center" vertical="center"/>
    </xf>
    <xf numFmtId="0" fontId="100" fillId="0" borderId="0" xfId="0" applyFont="1" applyFill="1" applyBorder="1" applyAlignment="1" applyProtection="1">
      <alignment vertical="center"/>
    </xf>
    <xf numFmtId="0" fontId="124" fillId="0" borderId="0" xfId="0" applyFont="1" applyAlignment="1" applyProtection="1">
      <alignment horizontal="center" vertical="center"/>
    </xf>
    <xf numFmtId="0" fontId="96" fillId="0" borderId="0" xfId="0" applyFont="1">
      <alignment vertical="center"/>
      <protection locked="0"/>
    </xf>
    <xf numFmtId="0" fontId="125" fillId="6" borderId="60" xfId="0" applyFont="1" applyFill="1" applyBorder="1" applyAlignment="1" applyProtection="1">
      <alignment horizontal="center" vertical="center" wrapText="1"/>
    </xf>
    <xf numFmtId="0" fontId="125" fillId="6" borderId="61" xfId="0" applyFont="1" applyFill="1" applyBorder="1" applyAlignment="1" applyProtection="1">
      <alignment horizontal="center" vertical="center" wrapText="1"/>
    </xf>
    <xf numFmtId="0" fontId="125" fillId="6" borderId="62" xfId="0" applyFont="1" applyFill="1" applyBorder="1" applyAlignment="1" applyProtection="1">
      <alignment horizontal="center" vertical="center" wrapText="1"/>
    </xf>
    <xf numFmtId="0" fontId="125" fillId="6" borderId="34" xfId="0" applyFont="1" applyFill="1" applyBorder="1" applyAlignment="1" applyProtection="1">
      <alignment horizontal="center" vertical="center" wrapText="1"/>
    </xf>
    <xf numFmtId="0" fontId="124" fillId="6" borderId="63" xfId="0" applyFont="1" applyFill="1" applyBorder="1" applyAlignment="1" applyProtection="1">
      <alignment horizontal="center" vertical="center"/>
    </xf>
    <xf numFmtId="0" fontId="125" fillId="6" borderId="64" xfId="0" applyFont="1" applyFill="1" applyBorder="1" applyAlignment="1" applyProtection="1">
      <alignment horizontal="center" vertical="center" wrapText="1"/>
    </xf>
    <xf numFmtId="0" fontId="125" fillId="6" borderId="65" xfId="0" applyFont="1" applyFill="1" applyBorder="1" applyAlignment="1" applyProtection="1">
      <alignment horizontal="center" vertical="center" wrapText="1"/>
    </xf>
    <xf numFmtId="0" fontId="125" fillId="6" borderId="66" xfId="0" applyFont="1" applyFill="1" applyBorder="1" applyAlignment="1" applyProtection="1">
      <alignment horizontal="center" vertical="center" wrapText="1"/>
    </xf>
    <xf numFmtId="179" fontId="126" fillId="4" borderId="67" xfId="0" applyNumberFormat="1" applyFont="1" applyFill="1" applyBorder="1" applyAlignment="1">
      <alignment horizontal="center" vertical="center" wrapText="1"/>
      <protection locked="0"/>
    </xf>
    <xf numFmtId="0" fontId="125" fillId="11" borderId="34" xfId="0" applyFont="1" applyFill="1" applyBorder="1" applyAlignment="1" applyProtection="1">
      <alignment horizontal="center" vertical="center" wrapText="1"/>
    </xf>
    <xf numFmtId="0" fontId="8" fillId="0" borderId="8" xfId="0" applyFont="1" applyBorder="1" applyAlignment="1">
      <alignment horizontal="center" vertical="center" wrapText="1"/>
      <protection locked="0"/>
    </xf>
    <xf numFmtId="179" fontId="122" fillId="4" borderId="8" xfId="0" applyNumberFormat="1" applyFont="1" applyFill="1" applyBorder="1" applyAlignment="1">
      <alignment horizontal="center" vertical="center" wrapText="1"/>
      <protection locked="0"/>
    </xf>
    <xf numFmtId="0" fontId="125" fillId="22" borderId="37" xfId="0" applyFont="1" applyFill="1" applyBorder="1" applyAlignment="1" applyProtection="1">
      <alignment horizontal="center" vertical="center" wrapText="1"/>
    </xf>
    <xf numFmtId="0" fontId="125" fillId="22" borderId="38" xfId="0" applyFont="1" applyFill="1" applyBorder="1" applyAlignment="1" applyProtection="1">
      <alignment horizontal="center" vertical="center" wrapText="1"/>
    </xf>
    <xf numFmtId="0" fontId="125" fillId="22" borderId="39" xfId="0" applyFont="1" applyFill="1" applyBorder="1" applyAlignment="1" applyProtection="1">
      <alignment horizontal="center" vertical="center" wrapText="1"/>
    </xf>
    <xf numFmtId="0" fontId="125" fillId="22" borderId="34" xfId="0" applyFont="1" applyFill="1" applyBorder="1" applyAlignment="1" applyProtection="1">
      <alignment horizontal="center" vertical="center" wrapText="1"/>
    </xf>
    <xf numFmtId="0" fontId="125" fillId="22" borderId="42" xfId="0" applyFont="1" applyFill="1" applyBorder="1" applyAlignment="1" applyProtection="1">
      <alignment horizontal="center" vertical="center" wrapText="1"/>
    </xf>
    <xf numFmtId="0" fontId="125" fillId="22" borderId="43" xfId="0" applyFont="1" applyFill="1" applyBorder="1" applyAlignment="1" applyProtection="1">
      <alignment horizontal="center" vertical="center" wrapText="1"/>
    </xf>
    <xf numFmtId="0" fontId="125" fillId="22" borderId="44" xfId="0" applyFont="1" applyFill="1" applyBorder="1" applyAlignment="1" applyProtection="1">
      <alignment horizontal="center" vertical="center" wrapText="1"/>
    </xf>
    <xf numFmtId="0" fontId="122" fillId="4" borderId="8" xfId="0" applyFont="1" applyFill="1" applyBorder="1" applyAlignment="1">
      <alignment horizontal="center" vertical="center" wrapText="1"/>
      <protection locked="0"/>
    </xf>
    <xf numFmtId="0" fontId="125" fillId="2" borderId="37" xfId="0" applyFont="1" applyFill="1" applyBorder="1" applyAlignment="1" applyProtection="1">
      <alignment horizontal="center" vertical="center" wrapText="1"/>
    </xf>
    <xf numFmtId="0" fontId="125" fillId="2" borderId="38" xfId="0" applyFont="1" applyFill="1" applyBorder="1" applyAlignment="1" applyProtection="1">
      <alignment horizontal="center" vertical="center" wrapText="1"/>
    </xf>
    <xf numFmtId="0" fontId="125" fillId="2" borderId="39" xfId="0" applyFont="1" applyFill="1" applyBorder="1" applyAlignment="1" applyProtection="1">
      <alignment horizontal="center" vertical="center" wrapText="1"/>
    </xf>
    <xf numFmtId="0" fontId="125" fillId="2" borderId="34" xfId="0" applyFont="1" applyFill="1" applyBorder="1" applyAlignment="1" applyProtection="1">
      <alignment horizontal="center" vertical="center" wrapText="1"/>
    </xf>
    <xf numFmtId="0" fontId="125" fillId="2" borderId="42" xfId="0" applyFont="1" applyFill="1" applyBorder="1" applyAlignment="1" applyProtection="1">
      <alignment horizontal="center" vertical="center" wrapText="1"/>
    </xf>
    <xf numFmtId="0" fontId="125" fillId="2" borderId="43" xfId="0" applyFont="1" applyFill="1" applyBorder="1" applyAlignment="1" applyProtection="1">
      <alignment horizontal="center" vertical="center" wrapText="1"/>
    </xf>
    <xf numFmtId="0" fontId="125" fillId="2" borderId="44" xfId="0" applyFont="1" applyFill="1" applyBorder="1" applyAlignment="1" applyProtection="1">
      <alignment horizontal="center" vertical="center" wrapText="1"/>
    </xf>
    <xf numFmtId="176" fontId="126" fillId="4" borderId="8" xfId="0" applyNumberFormat="1" applyFont="1" applyFill="1" applyBorder="1" applyAlignment="1">
      <alignment horizontal="center" vertical="center" wrapText="1"/>
      <protection locked="0"/>
    </xf>
    <xf numFmtId="179" fontId="126" fillId="4" borderId="8" xfId="0" applyNumberFormat="1" applyFont="1" applyFill="1" applyBorder="1" applyAlignment="1">
      <alignment horizontal="center" vertical="center" wrapText="1"/>
      <protection locked="0"/>
    </xf>
    <xf numFmtId="176" fontId="125" fillId="4" borderId="34" xfId="0" applyNumberFormat="1" applyFont="1" applyFill="1" applyBorder="1" applyAlignment="1" applyProtection="1">
      <alignment horizontal="center" vertical="center" wrapText="1"/>
    </xf>
    <xf numFmtId="182" fontId="125" fillId="4" borderId="34" xfId="0" applyNumberFormat="1" applyFont="1" applyFill="1" applyBorder="1" applyAlignment="1" applyProtection="1">
      <alignment horizontal="center" vertical="center" wrapText="1"/>
    </xf>
    <xf numFmtId="176" fontId="126" fillId="4" borderId="67" xfId="0" applyNumberFormat="1" applyFont="1" applyFill="1" applyBorder="1" applyAlignment="1">
      <alignment horizontal="center" vertical="center" wrapText="1"/>
      <protection locked="0"/>
    </xf>
    <xf numFmtId="0" fontId="124" fillId="6" borderId="9" xfId="0" applyFont="1" applyFill="1" applyBorder="1" applyAlignment="1" applyProtection="1">
      <alignment horizontal="center" vertical="center"/>
    </xf>
    <xf numFmtId="0" fontId="127" fillId="0" borderId="9" xfId="0" applyFont="1" applyBorder="1" applyAlignment="1" applyProtection="1">
      <alignment horizontal="center" vertical="center"/>
    </xf>
    <xf numFmtId="0" fontId="95" fillId="4" borderId="9" xfId="0" applyFont="1" applyFill="1" applyBorder="1" applyAlignment="1">
      <alignment horizontal="center" vertical="center"/>
      <protection locked="0"/>
    </xf>
    <xf numFmtId="176" fontId="96" fillId="4" borderId="9" xfId="0" applyNumberFormat="1" applyFont="1" applyFill="1" applyBorder="1" applyAlignment="1">
      <alignment horizontal="center" vertical="center"/>
      <protection locked="0"/>
    </xf>
    <xf numFmtId="177" fontId="96" fillId="0" borderId="0" xfId="0" applyNumberFormat="1" applyFont="1">
      <alignment vertical="center"/>
      <protection locked="0"/>
    </xf>
    <xf numFmtId="0" fontId="96" fillId="4" borderId="9" xfId="0" applyFont="1" applyFill="1" applyBorder="1" applyAlignment="1">
      <alignment horizontal="center" vertical="center"/>
      <protection locked="0"/>
    </xf>
    <xf numFmtId="177" fontId="95" fillId="4" borderId="9" xfId="0" applyNumberFormat="1" applyFont="1" applyFill="1" applyBorder="1" applyAlignment="1">
      <alignment horizontal="center" vertical="center"/>
      <protection locked="0"/>
    </xf>
    <xf numFmtId="0" fontId="96" fillId="0" borderId="9" xfId="0" applyFont="1" applyBorder="1" applyAlignment="1">
      <alignment horizontal="center" vertical="center"/>
      <protection locked="0"/>
    </xf>
    <xf numFmtId="0" fontId="128" fillId="12" borderId="9" xfId="0" applyFont="1" applyFill="1" applyBorder="1" applyAlignment="1">
      <alignment horizontal="center" vertical="center"/>
      <protection locked="0"/>
    </xf>
    <xf numFmtId="0" fontId="129" fillId="7" borderId="9" xfId="0" applyFont="1" applyFill="1" applyBorder="1" applyAlignment="1">
      <alignment horizontal="center" vertical="center"/>
      <protection locked="0"/>
    </xf>
    <xf numFmtId="177" fontId="96" fillId="0" borderId="9" xfId="0" applyNumberFormat="1" applyFont="1" applyBorder="1" applyAlignment="1">
      <alignment horizontal="center" vertical="center"/>
      <protection locked="0"/>
    </xf>
    <xf numFmtId="0" fontId="96" fillId="4" borderId="9" xfId="0" applyFont="1" applyFill="1" applyBorder="1">
      <alignment vertical="center"/>
      <protection locked="0"/>
    </xf>
    <xf numFmtId="0" fontId="130" fillId="23" borderId="0" xfId="0" applyFont="1" applyFill="1" applyAlignment="1" applyProtection="1">
      <alignment horizontal="center" vertical="center"/>
    </xf>
    <xf numFmtId="0" fontId="130" fillId="0" borderId="0" xfId="0" applyFont="1" applyAlignment="1" applyProtection="1">
      <alignment horizontal="center" vertical="center"/>
    </xf>
    <xf numFmtId="0" fontId="131" fillId="0" borderId="0" xfId="0" applyFont="1" applyProtection="1">
      <alignment vertical="center"/>
    </xf>
    <xf numFmtId="0" fontId="15" fillId="0" borderId="0" xfId="0" applyFont="1" applyAlignment="1" applyProtection="1">
      <alignment horizontal="center" vertical="center" wrapText="1"/>
    </xf>
    <xf numFmtId="0" fontId="15" fillId="0" borderId="0" xfId="0" applyFont="1" applyAlignment="1" applyProtection="1">
      <alignment horizontal="left" vertical="center" wrapText="1"/>
    </xf>
    <xf numFmtId="0" fontId="15" fillId="23" borderId="0" xfId="0" applyFont="1" applyFill="1" applyBorder="1" applyAlignment="1" applyProtection="1">
      <alignment horizontal="center" vertical="center" wrapText="1"/>
    </xf>
    <xf numFmtId="0" fontId="15" fillId="23" borderId="0" xfId="0" applyFont="1" applyFill="1" applyBorder="1" applyAlignment="1" applyProtection="1">
      <alignment horizontal="left" vertical="center" wrapText="1"/>
    </xf>
    <xf numFmtId="0" fontId="15" fillId="0" borderId="0" xfId="0" applyFont="1" applyBorder="1" applyAlignment="1" applyProtection="1">
      <alignment horizontal="center" vertical="center" wrapText="1"/>
    </xf>
    <xf numFmtId="0" fontId="15" fillId="0" borderId="0" xfId="0" applyFont="1" applyBorder="1" applyAlignment="1" applyProtection="1">
      <alignment horizontal="left" vertical="center" wrapText="1"/>
    </xf>
    <xf numFmtId="0" fontId="15" fillId="7" borderId="0" xfId="0" applyFont="1" applyFill="1" applyBorder="1" applyAlignment="1" applyProtection="1">
      <alignment horizontal="center" vertical="center" wrapText="1"/>
    </xf>
    <xf numFmtId="0" fontId="15" fillId="7" borderId="0" xfId="0" applyFont="1" applyFill="1" applyBorder="1" applyAlignment="1" applyProtection="1">
      <alignment horizontal="left" vertical="center" wrapText="1"/>
    </xf>
    <xf numFmtId="0" fontId="132" fillId="23" borderId="0" xfId="0" applyFont="1" applyFill="1" applyBorder="1" applyAlignment="1" applyProtection="1">
      <alignment horizontal="center" vertical="center" wrapText="1"/>
    </xf>
    <xf numFmtId="0" fontId="133" fillId="0" borderId="0" xfId="0" applyFont="1" applyBorder="1" applyAlignment="1" applyProtection="1">
      <alignment horizontal="center" vertical="top" wrapText="1"/>
    </xf>
    <xf numFmtId="0" fontId="133" fillId="0" borderId="0" xfId="0" applyFont="1" applyBorder="1" applyAlignment="1" applyProtection="1">
      <alignment horizontal="left" vertical="top" wrapText="1"/>
    </xf>
    <xf numFmtId="0" fontId="88" fillId="0" borderId="0" xfId="0" applyFont="1" applyBorder="1" applyAlignment="1" applyProtection="1">
      <alignment horizontal="left" vertical="center" wrapText="1"/>
    </xf>
    <xf numFmtId="0" fontId="133" fillId="24" borderId="0" xfId="0" applyFont="1" applyFill="1" applyBorder="1" applyAlignment="1" applyProtection="1">
      <alignment horizontal="left" vertical="top" wrapText="1"/>
    </xf>
    <xf numFmtId="0" fontId="133" fillId="0" borderId="0" xfId="0" applyFont="1" applyBorder="1" applyAlignment="1" applyProtection="1">
      <alignment horizontal="center" vertical="top"/>
    </xf>
    <xf numFmtId="0" fontId="133" fillId="0" borderId="0" xfId="0" applyFont="1" applyBorder="1" applyAlignment="1" applyProtection="1">
      <alignment horizontal="left" vertical="top"/>
    </xf>
    <xf numFmtId="0" fontId="133" fillId="24" borderId="0" xfId="0" applyFont="1" applyFill="1" applyBorder="1" applyAlignment="1" applyProtection="1">
      <alignment horizontal="left" vertical="top"/>
    </xf>
    <xf numFmtId="0" fontId="134" fillId="0" borderId="0" xfId="0" applyFont="1" applyBorder="1" applyAlignment="1" applyProtection="1">
      <alignment horizontal="center" vertical="top"/>
    </xf>
    <xf numFmtId="0" fontId="135" fillId="24" borderId="0" xfId="0" applyFont="1" applyFill="1" applyBorder="1" applyAlignment="1" applyProtection="1">
      <alignment horizontal="left" vertical="top"/>
    </xf>
    <xf numFmtId="0" fontId="136" fillId="0" borderId="0" xfId="0" applyFont="1" applyBorder="1" applyAlignment="1" applyProtection="1">
      <alignment horizontal="center" vertical="top"/>
    </xf>
    <xf numFmtId="0" fontId="136" fillId="0" borderId="0" xfId="0" applyFont="1" applyBorder="1" applyAlignment="1" applyProtection="1">
      <alignment horizontal="left" vertical="top"/>
    </xf>
    <xf numFmtId="0" fontId="137" fillId="0" borderId="0" xfId="0" applyFont="1" applyAlignment="1" applyProtection="1">
      <alignment horizontal="center" vertical="center" wrapText="1"/>
    </xf>
    <xf numFmtId="0" fontId="15" fillId="0" borderId="0" xfId="0" applyFont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323850</xdr:colOff>
      <xdr:row>33</xdr:row>
      <xdr:rowOff>86360</xdr:rowOff>
    </xdr:from>
    <xdr:to>
      <xdr:col>5</xdr:col>
      <xdr:colOff>212725</xdr:colOff>
      <xdr:row>52</xdr:row>
      <xdr:rowOff>13335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5887085"/>
          <a:ext cx="3268345" cy="300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120015</xdr:colOff>
      <xdr:row>33</xdr:row>
      <xdr:rowOff>91440</xdr:rowOff>
    </xdr:from>
    <xdr:to>
      <xdr:col>14</xdr:col>
      <xdr:colOff>438785</xdr:colOff>
      <xdr:row>57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71695" y="5892165"/>
          <a:ext cx="4721225" cy="3794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982345</xdr:colOff>
      <xdr:row>0</xdr:row>
      <xdr:rowOff>7620</xdr:rowOff>
    </xdr:from>
    <xdr:to>
      <xdr:col>12</xdr:col>
      <xdr:colOff>741045</xdr:colOff>
      <xdr:row>23</xdr:row>
      <xdr:rowOff>99060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32010" y="7620"/>
          <a:ext cx="4325620" cy="4968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8"/>
  <sheetViews>
    <sheetView workbookViewId="0">
      <pane ySplit="1" topLeftCell="A285" activePane="bottomLeft" state="frozen"/>
      <selection/>
      <selection pane="bottomLeft" activeCell="N31" sqref="N31"/>
    </sheetView>
  </sheetViews>
  <sheetFormatPr defaultColWidth="13.2857142857143" defaultRowHeight="16.5" customHeight="1"/>
  <cols>
    <col min="1" max="1" width="21.1428571428571" style="470" customWidth="1"/>
    <col min="2" max="2" width="29.4285714285714" style="470" customWidth="1"/>
    <col min="3" max="3" width="17.2857142857143" style="470" customWidth="1"/>
    <col min="4" max="4" width="11.7142857142857" style="470" customWidth="1"/>
    <col min="5" max="5" width="14.1428571428571" style="470" customWidth="1"/>
    <col min="6" max="6" width="17" style="470" customWidth="1"/>
    <col min="7" max="7" width="91.4285714285714" style="471" customWidth="1"/>
    <col min="8" max="8" width="28.8571428571429" style="470" customWidth="1"/>
    <col min="9" max="9" width="53.4285714285714" style="470" customWidth="1"/>
  </cols>
  <sheetData>
    <row r="1" s="467" customFormat="1" ht="50.25" customHeight="1" spans="1:9">
      <c r="A1" s="472" t="s">
        <v>0</v>
      </c>
      <c r="B1" s="472" t="s">
        <v>1</v>
      </c>
      <c r="C1" s="472" t="s">
        <v>2</v>
      </c>
      <c r="D1" s="472" t="s">
        <v>3</v>
      </c>
      <c r="E1" s="472" t="s">
        <v>4</v>
      </c>
      <c r="F1" s="472" t="s">
        <v>5</v>
      </c>
      <c r="G1" s="473" t="s">
        <v>6</v>
      </c>
      <c r="H1" s="472" t="s">
        <v>7</v>
      </c>
      <c r="I1" s="478" t="s">
        <v>8</v>
      </c>
    </row>
    <row r="2" ht="28.5" customHeight="1" spans="1:9">
      <c r="A2" s="474" t="s">
        <v>9</v>
      </c>
      <c r="B2" s="474" t="s">
        <v>10</v>
      </c>
      <c r="C2" s="474" t="s">
        <v>11</v>
      </c>
      <c r="D2" s="474"/>
      <c r="E2" s="474"/>
      <c r="F2" s="474" t="s">
        <v>12</v>
      </c>
      <c r="G2" s="475" t="s">
        <v>13</v>
      </c>
      <c r="H2" s="474" t="s">
        <v>14</v>
      </c>
      <c r="I2" s="476"/>
    </row>
    <row r="3" ht="15.75" customHeight="1" spans="1:9">
      <c r="A3" s="474"/>
      <c r="B3" s="474"/>
      <c r="C3" s="474"/>
      <c r="D3" s="474"/>
      <c r="E3" s="474"/>
      <c r="F3" s="474"/>
      <c r="G3" s="475" t="s">
        <v>15</v>
      </c>
      <c r="H3" s="474"/>
      <c r="I3" s="476"/>
    </row>
    <row r="4" ht="15.75" customHeight="1" spans="1:9">
      <c r="A4" s="474" t="s">
        <v>16</v>
      </c>
      <c r="B4" s="474" t="s">
        <v>17</v>
      </c>
      <c r="C4" s="474" t="s">
        <v>11</v>
      </c>
      <c r="D4" s="474"/>
      <c r="E4" s="474" t="s">
        <v>18</v>
      </c>
      <c r="F4" s="474" t="s">
        <v>18</v>
      </c>
      <c r="G4" s="475" t="s">
        <v>19</v>
      </c>
      <c r="H4" s="474" t="s">
        <v>20</v>
      </c>
      <c r="I4" s="476" t="s">
        <v>21</v>
      </c>
    </row>
    <row r="5" ht="15.75" customHeight="1" spans="1:9">
      <c r="A5" s="474" t="s">
        <v>22</v>
      </c>
      <c r="B5" s="474" t="s">
        <v>23</v>
      </c>
      <c r="C5" s="474" t="s">
        <v>24</v>
      </c>
      <c r="D5" s="474"/>
      <c r="E5" s="474" t="s">
        <v>25</v>
      </c>
      <c r="F5" s="474" t="s">
        <v>26</v>
      </c>
      <c r="G5" s="475" t="s">
        <v>27</v>
      </c>
      <c r="H5" s="474" t="s">
        <v>20</v>
      </c>
      <c r="I5" s="476" t="s">
        <v>28</v>
      </c>
    </row>
    <row r="6" ht="15.75" customHeight="1" spans="1:9">
      <c r="A6" s="474" t="s">
        <v>29</v>
      </c>
      <c r="B6" s="474" t="s">
        <v>30</v>
      </c>
      <c r="C6" s="474" t="s">
        <v>31</v>
      </c>
      <c r="D6" s="474"/>
      <c r="E6" s="474" t="s">
        <v>32</v>
      </c>
      <c r="F6" s="474" t="s">
        <v>25</v>
      </c>
      <c r="G6" s="475" t="s">
        <v>33</v>
      </c>
      <c r="H6" s="474"/>
      <c r="I6" s="474"/>
    </row>
    <row r="7" ht="15.75" customHeight="1" spans="1:9">
      <c r="A7" s="474" t="s">
        <v>34</v>
      </c>
      <c r="B7" s="474" t="s">
        <v>35</v>
      </c>
      <c r="C7" s="474" t="s">
        <v>31</v>
      </c>
      <c r="D7" s="474"/>
      <c r="E7" s="474" t="s">
        <v>36</v>
      </c>
      <c r="F7" s="474" t="s">
        <v>36</v>
      </c>
      <c r="G7" s="475" t="s">
        <v>37</v>
      </c>
      <c r="H7" s="474" t="s">
        <v>38</v>
      </c>
      <c r="I7" s="474"/>
    </row>
    <row r="8" ht="15.75" customHeight="1" spans="1:9">
      <c r="A8" s="474"/>
      <c r="B8" s="474"/>
      <c r="C8" s="474"/>
      <c r="D8" s="474"/>
      <c r="E8" s="474"/>
      <c r="F8" s="474" t="s">
        <v>36</v>
      </c>
      <c r="G8" s="475" t="s">
        <v>39</v>
      </c>
      <c r="H8" s="474" t="s">
        <v>38</v>
      </c>
      <c r="I8" s="474"/>
    </row>
    <row r="9" ht="15.75" customHeight="1" spans="1:9">
      <c r="A9" s="474"/>
      <c r="B9" s="474"/>
      <c r="C9" s="474"/>
      <c r="D9" s="474"/>
      <c r="E9" s="474"/>
      <c r="F9" s="474" t="s">
        <v>40</v>
      </c>
      <c r="G9" s="475" t="s">
        <v>41</v>
      </c>
      <c r="H9" s="474"/>
      <c r="I9" s="474"/>
    </row>
    <row r="10" ht="15.75" customHeight="1" spans="1:9">
      <c r="A10" s="474"/>
      <c r="B10" s="474"/>
      <c r="C10" s="474"/>
      <c r="D10" s="474"/>
      <c r="E10" s="474"/>
      <c r="F10" s="474" t="s">
        <v>40</v>
      </c>
      <c r="G10" s="475" t="s">
        <v>42</v>
      </c>
      <c r="H10" s="474"/>
      <c r="I10" s="474"/>
    </row>
    <row r="11" ht="15.75" customHeight="1" spans="1:9">
      <c r="A11" s="474"/>
      <c r="B11" s="474"/>
      <c r="C11" s="474"/>
      <c r="D11" s="474"/>
      <c r="E11" s="474"/>
      <c r="F11" s="474" t="s">
        <v>36</v>
      </c>
      <c r="G11" s="475" t="s">
        <v>43</v>
      </c>
      <c r="H11" s="474" t="s">
        <v>38</v>
      </c>
      <c r="I11" s="474"/>
    </row>
    <row r="12" ht="15.75" customHeight="1" spans="1:9">
      <c r="A12" s="474" t="s">
        <v>44</v>
      </c>
      <c r="B12" s="474" t="s">
        <v>45</v>
      </c>
      <c r="C12" s="474" t="s">
        <v>46</v>
      </c>
      <c r="D12" s="474"/>
      <c r="E12" s="474" t="s">
        <v>32</v>
      </c>
      <c r="F12" s="474" t="s">
        <v>32</v>
      </c>
      <c r="G12" s="475" t="s">
        <v>47</v>
      </c>
      <c r="H12" s="474" t="s">
        <v>38</v>
      </c>
      <c r="I12" s="474"/>
    </row>
    <row r="13" ht="15.75" customHeight="1" spans="1:9">
      <c r="A13" s="474" t="s">
        <v>48</v>
      </c>
      <c r="B13" s="474" t="s">
        <v>49</v>
      </c>
      <c r="C13" s="474" t="s">
        <v>46</v>
      </c>
      <c r="D13" s="474"/>
      <c r="E13" s="474" t="s">
        <v>50</v>
      </c>
      <c r="F13" s="474" t="s">
        <v>50</v>
      </c>
      <c r="G13" s="475" t="s">
        <v>51</v>
      </c>
      <c r="H13" s="474" t="s">
        <v>38</v>
      </c>
      <c r="I13" s="474"/>
    </row>
    <row r="14" ht="15.75" customHeight="1" spans="1:9">
      <c r="A14" s="474"/>
      <c r="B14" s="474"/>
      <c r="C14" s="474"/>
      <c r="D14" s="474"/>
      <c r="E14" s="474"/>
      <c r="F14" s="474" t="s">
        <v>50</v>
      </c>
      <c r="G14" s="475" t="s">
        <v>52</v>
      </c>
      <c r="H14" s="474"/>
      <c r="I14" s="474"/>
    </row>
    <row r="15" ht="15.75" customHeight="1" spans="1:9">
      <c r="A15" s="474"/>
      <c r="B15" s="474"/>
      <c r="C15" s="474"/>
      <c r="D15" s="474"/>
      <c r="E15" s="474"/>
      <c r="F15" s="474" t="s">
        <v>53</v>
      </c>
      <c r="G15" s="475" t="s">
        <v>54</v>
      </c>
      <c r="H15" s="474"/>
      <c r="I15" s="474"/>
    </row>
    <row r="16" ht="15.75" customHeight="1" spans="1:9">
      <c r="A16" s="474"/>
      <c r="B16" s="474"/>
      <c r="C16" s="474"/>
      <c r="D16" s="474"/>
      <c r="E16" s="474"/>
      <c r="F16" s="474" t="s">
        <v>55</v>
      </c>
      <c r="G16" s="475" t="s">
        <v>56</v>
      </c>
      <c r="H16" s="474"/>
      <c r="I16" s="474"/>
    </row>
    <row r="17" customHeight="1" spans="1:9">
      <c r="A17" s="474"/>
      <c r="B17" s="474"/>
      <c r="C17" s="474"/>
      <c r="D17" s="474"/>
      <c r="E17" s="474"/>
      <c r="F17" s="474"/>
      <c r="G17" s="475"/>
      <c r="H17" s="474"/>
      <c r="I17" s="474"/>
    </row>
    <row r="18" ht="15.75" customHeight="1" spans="1:9">
      <c r="A18" s="474"/>
      <c r="B18" s="474"/>
      <c r="C18" s="474"/>
      <c r="D18" s="474"/>
      <c r="E18" s="474"/>
      <c r="F18" s="474" t="s">
        <v>50</v>
      </c>
      <c r="G18" s="475" t="s">
        <v>57</v>
      </c>
      <c r="H18" s="474"/>
      <c r="I18" s="474"/>
    </row>
    <row r="19" ht="15.75" customHeight="1" spans="1:9">
      <c r="A19" s="474"/>
      <c r="B19" s="474"/>
      <c r="C19" s="474"/>
      <c r="D19" s="474"/>
      <c r="E19" s="474"/>
      <c r="F19" s="474" t="s">
        <v>50</v>
      </c>
      <c r="G19" s="475" t="s">
        <v>58</v>
      </c>
      <c r="H19" s="474"/>
      <c r="I19" s="474"/>
    </row>
    <row r="20" ht="15.75" customHeight="1" spans="1:9">
      <c r="A20" s="474"/>
      <c r="B20" s="474"/>
      <c r="C20" s="474"/>
      <c r="D20" s="474"/>
      <c r="E20" s="474"/>
      <c r="F20" s="474" t="s">
        <v>36</v>
      </c>
      <c r="G20" s="475" t="s">
        <v>59</v>
      </c>
      <c r="H20" s="474"/>
      <c r="I20" s="474"/>
    </row>
    <row r="21" customHeight="1" spans="1:9">
      <c r="A21" s="474"/>
      <c r="B21" s="474"/>
      <c r="C21" s="474"/>
      <c r="D21" s="474"/>
      <c r="E21" s="474"/>
      <c r="F21" s="474"/>
      <c r="G21" s="475"/>
      <c r="H21" s="474"/>
      <c r="I21" s="474"/>
    </row>
    <row r="22" ht="31.7" customHeight="1" spans="1:9">
      <c r="A22" s="474"/>
      <c r="B22" s="474"/>
      <c r="C22" s="474"/>
      <c r="D22" s="474"/>
      <c r="E22" s="474"/>
      <c r="F22" s="474" t="s">
        <v>36</v>
      </c>
      <c r="G22" s="475" t="s">
        <v>60</v>
      </c>
      <c r="H22" s="474" t="s">
        <v>61</v>
      </c>
      <c r="I22" s="474"/>
    </row>
    <row r="23" ht="15.75" customHeight="1" spans="1:9">
      <c r="A23" s="474"/>
      <c r="B23" s="474"/>
      <c r="C23" s="474"/>
      <c r="D23" s="474"/>
      <c r="E23" s="474"/>
      <c r="F23" s="474" t="s">
        <v>50</v>
      </c>
      <c r="G23" s="475" t="s">
        <v>62</v>
      </c>
      <c r="H23" s="474" t="s">
        <v>38</v>
      </c>
      <c r="I23" s="474"/>
    </row>
    <row r="24" ht="15.75" customHeight="1" spans="1:9">
      <c r="A24" s="474"/>
      <c r="B24" s="474"/>
      <c r="C24" s="474"/>
      <c r="D24" s="474"/>
      <c r="E24" s="474"/>
      <c r="F24" s="474" t="s">
        <v>63</v>
      </c>
      <c r="G24" s="475" t="s">
        <v>64</v>
      </c>
      <c r="H24" s="474"/>
      <c r="I24" s="474"/>
    </row>
    <row r="25" ht="15.75" customHeight="1" spans="1:9">
      <c r="A25" s="474"/>
      <c r="B25" s="474"/>
      <c r="C25" s="474"/>
      <c r="D25" s="474"/>
      <c r="E25" s="474"/>
      <c r="F25" s="474" t="s">
        <v>63</v>
      </c>
      <c r="G25" s="475" t="s">
        <v>65</v>
      </c>
      <c r="H25" s="474" t="s">
        <v>61</v>
      </c>
      <c r="I25" s="474"/>
    </row>
    <row r="26" ht="15.75" customHeight="1" spans="1:9">
      <c r="A26" s="474"/>
      <c r="B26" s="474"/>
      <c r="C26" s="474"/>
      <c r="D26" s="474"/>
      <c r="E26" s="474"/>
      <c r="F26" s="474" t="s">
        <v>66</v>
      </c>
      <c r="G26" s="475" t="s">
        <v>67</v>
      </c>
      <c r="H26" s="474"/>
      <c r="I26" s="474"/>
    </row>
    <row r="27" ht="15.75" customHeight="1" spans="1:9">
      <c r="A27" s="474"/>
      <c r="B27" s="474"/>
      <c r="C27" s="474"/>
      <c r="D27" s="474"/>
      <c r="E27" s="474"/>
      <c r="F27" s="474" t="s">
        <v>50</v>
      </c>
      <c r="G27" s="475" t="s">
        <v>68</v>
      </c>
      <c r="H27" s="474"/>
      <c r="I27" s="474"/>
    </row>
    <row r="28" ht="15.75" customHeight="1" spans="1:9">
      <c r="A28" s="474"/>
      <c r="B28" s="474"/>
      <c r="C28" s="474"/>
      <c r="D28" s="474"/>
      <c r="E28" s="474"/>
      <c r="F28" s="474" t="s">
        <v>50</v>
      </c>
      <c r="G28" s="475" t="s">
        <v>69</v>
      </c>
      <c r="H28" s="474" t="s">
        <v>38</v>
      </c>
      <c r="I28" s="474"/>
    </row>
    <row r="29" ht="15.75" customHeight="1" spans="1:9">
      <c r="A29" s="474" t="s">
        <v>70</v>
      </c>
      <c r="B29" s="474" t="s">
        <v>71</v>
      </c>
      <c r="C29" s="474" t="s">
        <v>72</v>
      </c>
      <c r="D29" s="474"/>
      <c r="E29" s="474" t="s">
        <v>32</v>
      </c>
      <c r="F29" s="474" t="s">
        <v>50</v>
      </c>
      <c r="G29" s="475" t="s">
        <v>73</v>
      </c>
      <c r="H29" s="474" t="s">
        <v>61</v>
      </c>
      <c r="I29" s="474"/>
    </row>
    <row r="30" ht="15.75" customHeight="1" spans="1:9">
      <c r="A30" s="474"/>
      <c r="B30" s="474"/>
      <c r="C30" s="474"/>
      <c r="D30" s="474"/>
      <c r="E30" s="474"/>
      <c r="F30" s="474" t="s">
        <v>32</v>
      </c>
      <c r="G30" s="475" t="s">
        <v>74</v>
      </c>
      <c r="H30" s="474" t="s">
        <v>38</v>
      </c>
      <c r="I30" s="474"/>
    </row>
    <row r="31" ht="15.75" customHeight="1" spans="1:9">
      <c r="A31" s="474" t="s">
        <v>75</v>
      </c>
      <c r="B31" s="474" t="s">
        <v>76</v>
      </c>
      <c r="C31" s="474" t="s">
        <v>72</v>
      </c>
      <c r="D31" s="474"/>
      <c r="E31" s="474" t="s">
        <v>63</v>
      </c>
      <c r="F31" s="474" t="s">
        <v>77</v>
      </c>
      <c r="G31" s="475" t="s">
        <v>78</v>
      </c>
      <c r="H31" s="474"/>
      <c r="I31" s="474"/>
    </row>
    <row r="32" ht="15.75" customHeight="1" spans="1:9">
      <c r="A32" s="474" t="s">
        <v>79</v>
      </c>
      <c r="B32" s="474" t="s">
        <v>80</v>
      </c>
      <c r="C32" s="474" t="s">
        <v>72</v>
      </c>
      <c r="D32" s="474"/>
      <c r="E32" s="474" t="s">
        <v>50</v>
      </c>
      <c r="F32" s="474" t="s">
        <v>81</v>
      </c>
      <c r="G32" s="475" t="s">
        <v>82</v>
      </c>
      <c r="H32" s="474"/>
      <c r="I32" s="474"/>
    </row>
    <row r="33" ht="15.75" customHeight="1" spans="1:9">
      <c r="A33" s="474"/>
      <c r="B33" s="474"/>
      <c r="C33" s="474"/>
      <c r="D33" s="474"/>
      <c r="E33" s="474"/>
      <c r="F33" s="474" t="s">
        <v>55</v>
      </c>
      <c r="G33" s="475" t="s">
        <v>56</v>
      </c>
      <c r="H33" s="474"/>
      <c r="I33" s="474"/>
    </row>
    <row r="34" ht="15.75" customHeight="1" spans="1:9">
      <c r="A34" s="474"/>
      <c r="B34" s="474"/>
      <c r="C34" s="474"/>
      <c r="D34" s="474"/>
      <c r="E34" s="474"/>
      <c r="F34" s="474" t="s">
        <v>50</v>
      </c>
      <c r="G34" s="475" t="s">
        <v>83</v>
      </c>
      <c r="H34" s="474"/>
      <c r="I34" s="474"/>
    </row>
    <row r="35" ht="15.75" customHeight="1" spans="1:9">
      <c r="A35" s="474"/>
      <c r="B35" s="474"/>
      <c r="C35" s="474"/>
      <c r="D35" s="474"/>
      <c r="E35" s="474"/>
      <c r="F35" s="474" t="s">
        <v>50</v>
      </c>
      <c r="G35" s="475" t="s">
        <v>84</v>
      </c>
      <c r="H35" s="474"/>
      <c r="I35" s="474"/>
    </row>
    <row r="36" ht="15.75" customHeight="1" spans="1:9">
      <c r="A36" s="474"/>
      <c r="B36" s="474"/>
      <c r="C36" s="474"/>
      <c r="D36" s="474"/>
      <c r="E36" s="474"/>
      <c r="F36" s="474" t="s">
        <v>50</v>
      </c>
      <c r="G36" s="475" t="s">
        <v>85</v>
      </c>
      <c r="H36" s="474" t="s">
        <v>38</v>
      </c>
      <c r="I36" s="474"/>
    </row>
    <row r="37" ht="15.75" customHeight="1" spans="1:9">
      <c r="A37" s="474"/>
      <c r="B37" s="474"/>
      <c r="C37" s="474"/>
      <c r="D37" s="474"/>
      <c r="E37" s="474"/>
      <c r="F37" s="474" t="s">
        <v>50</v>
      </c>
      <c r="G37" s="475" t="s">
        <v>86</v>
      </c>
      <c r="H37" s="474" t="s">
        <v>38</v>
      </c>
      <c r="I37" s="474"/>
    </row>
    <row r="38" ht="15.75" customHeight="1" spans="1:9">
      <c r="A38" s="474"/>
      <c r="B38" s="474"/>
      <c r="C38" s="474"/>
      <c r="D38" s="474"/>
      <c r="E38" s="474"/>
      <c r="F38" s="474" t="s">
        <v>50</v>
      </c>
      <c r="G38" s="475" t="s">
        <v>87</v>
      </c>
      <c r="H38" s="474" t="s">
        <v>38</v>
      </c>
      <c r="I38" s="474"/>
    </row>
    <row r="39" ht="15.75" customHeight="1" spans="1:9">
      <c r="A39" s="474"/>
      <c r="B39" s="474"/>
      <c r="C39" s="474"/>
      <c r="D39" s="474"/>
      <c r="E39" s="474"/>
      <c r="F39" s="474" t="s">
        <v>12</v>
      </c>
      <c r="G39" s="475" t="s">
        <v>88</v>
      </c>
      <c r="H39" s="474"/>
      <c r="I39" s="474"/>
    </row>
    <row r="40" ht="15.75" customHeight="1" spans="1:9">
      <c r="A40" s="474"/>
      <c r="B40" s="474"/>
      <c r="C40" s="474"/>
      <c r="D40" s="474"/>
      <c r="E40" s="474"/>
      <c r="F40" s="474" t="s">
        <v>50</v>
      </c>
      <c r="G40" s="475" t="s">
        <v>89</v>
      </c>
      <c r="H40" s="474" t="s">
        <v>38</v>
      </c>
      <c r="I40" s="474"/>
    </row>
    <row r="41" ht="15.75" customHeight="1" spans="1:9">
      <c r="A41" s="474"/>
      <c r="B41" s="474"/>
      <c r="C41" s="474"/>
      <c r="D41" s="474"/>
      <c r="E41" s="474"/>
      <c r="F41" s="474" t="s">
        <v>66</v>
      </c>
      <c r="G41" s="475" t="s">
        <v>90</v>
      </c>
      <c r="H41" s="474"/>
      <c r="I41" s="474"/>
    </row>
    <row r="42" ht="15.75" customHeight="1" spans="1:9">
      <c r="A42" s="474"/>
      <c r="B42" s="474"/>
      <c r="C42" s="474"/>
      <c r="D42" s="474"/>
      <c r="E42" s="474"/>
      <c r="F42" s="474" t="s">
        <v>55</v>
      </c>
      <c r="G42" s="475" t="s">
        <v>91</v>
      </c>
      <c r="H42" s="474"/>
      <c r="I42" s="474"/>
    </row>
    <row r="43" ht="15.75" customHeight="1" spans="1:9">
      <c r="A43" s="474"/>
      <c r="B43" s="474"/>
      <c r="C43" s="474"/>
      <c r="D43" s="474"/>
      <c r="E43" s="474"/>
      <c r="F43" s="474" t="s">
        <v>50</v>
      </c>
      <c r="G43" s="475" t="s">
        <v>92</v>
      </c>
      <c r="H43" s="474"/>
      <c r="I43" s="474"/>
    </row>
    <row r="44" ht="15.75" customHeight="1" spans="1:9">
      <c r="A44" s="474"/>
      <c r="B44" s="474"/>
      <c r="C44" s="474"/>
      <c r="D44" s="474"/>
      <c r="E44" s="474"/>
      <c r="F44" s="474" t="s">
        <v>50</v>
      </c>
      <c r="G44" s="475" t="s">
        <v>93</v>
      </c>
      <c r="H44" s="474" t="s">
        <v>38</v>
      </c>
      <c r="I44" s="474"/>
    </row>
    <row r="45" ht="15.75" customHeight="1" spans="1:9">
      <c r="A45" s="474"/>
      <c r="B45" s="474"/>
      <c r="C45" s="474"/>
      <c r="D45" s="474"/>
      <c r="E45" s="474"/>
      <c r="F45" s="474" t="s">
        <v>50</v>
      </c>
      <c r="G45" s="475" t="s">
        <v>94</v>
      </c>
      <c r="H45" s="474" t="s">
        <v>38</v>
      </c>
      <c r="I45" s="474"/>
    </row>
    <row r="46" ht="15.75" customHeight="1" spans="1:9">
      <c r="A46" s="474"/>
      <c r="B46" s="474"/>
      <c r="C46" s="474"/>
      <c r="D46" s="474"/>
      <c r="E46" s="474"/>
      <c r="F46" s="474" t="s">
        <v>55</v>
      </c>
      <c r="G46" s="475" t="s">
        <v>95</v>
      </c>
      <c r="H46" s="474"/>
      <c r="I46" s="474"/>
    </row>
    <row r="47" ht="15.75" customHeight="1" spans="1:9">
      <c r="A47" s="474"/>
      <c r="B47" s="474"/>
      <c r="C47" s="474"/>
      <c r="D47" s="474"/>
      <c r="E47" s="474"/>
      <c r="F47" s="474" t="s">
        <v>50</v>
      </c>
      <c r="G47" s="475" t="s">
        <v>96</v>
      </c>
      <c r="H47" s="474" t="s">
        <v>38</v>
      </c>
      <c r="I47" s="474"/>
    </row>
    <row r="48" ht="15.75" customHeight="1" spans="1:9">
      <c r="A48" s="474" t="s">
        <v>97</v>
      </c>
      <c r="B48" s="474" t="s">
        <v>80</v>
      </c>
      <c r="C48" s="474" t="s">
        <v>72</v>
      </c>
      <c r="D48" s="474"/>
      <c r="E48" s="474" t="s">
        <v>55</v>
      </c>
      <c r="F48" s="474" t="s">
        <v>55</v>
      </c>
      <c r="G48" s="475" t="s">
        <v>96</v>
      </c>
      <c r="H48" s="474" t="s">
        <v>38</v>
      </c>
      <c r="I48" s="474"/>
    </row>
    <row r="49" ht="15.75" customHeight="1" spans="1:9">
      <c r="A49" s="474"/>
      <c r="B49" s="474"/>
      <c r="C49" s="474"/>
      <c r="D49" s="474"/>
      <c r="E49" s="474"/>
      <c r="F49" s="474" t="s">
        <v>55</v>
      </c>
      <c r="G49" s="475" t="s">
        <v>86</v>
      </c>
      <c r="H49" s="474" t="s">
        <v>38</v>
      </c>
      <c r="I49" s="474"/>
    </row>
    <row r="50" ht="15.75" customHeight="1" spans="1:9">
      <c r="A50" s="474"/>
      <c r="B50" s="474"/>
      <c r="C50" s="474"/>
      <c r="D50" s="474"/>
      <c r="E50" s="474"/>
      <c r="F50" s="474" t="s">
        <v>25</v>
      </c>
      <c r="G50" s="475" t="s">
        <v>98</v>
      </c>
      <c r="H50" s="474"/>
      <c r="I50" s="474"/>
    </row>
    <row r="51" ht="15.75" customHeight="1" spans="1:9">
      <c r="A51" s="474"/>
      <c r="B51" s="474"/>
      <c r="C51" s="474"/>
      <c r="D51" s="474"/>
      <c r="E51" s="474"/>
      <c r="F51" s="474" t="s">
        <v>55</v>
      </c>
      <c r="G51" s="475" t="s">
        <v>99</v>
      </c>
      <c r="H51" s="474"/>
      <c r="I51" s="474"/>
    </row>
    <row r="52" ht="15.75" customHeight="1" spans="1:9">
      <c r="A52" s="474"/>
      <c r="B52" s="474"/>
      <c r="C52" s="474"/>
      <c r="D52" s="474"/>
      <c r="E52" s="474"/>
      <c r="F52" s="474" t="s">
        <v>63</v>
      </c>
      <c r="G52" s="475" t="s">
        <v>64</v>
      </c>
      <c r="H52" s="474"/>
      <c r="I52" s="474"/>
    </row>
    <row r="53" ht="15.75" customHeight="1" spans="1:9">
      <c r="A53" s="474"/>
      <c r="B53" s="474"/>
      <c r="C53" s="474"/>
      <c r="D53" s="474"/>
      <c r="E53" s="474"/>
      <c r="F53" s="474" t="s">
        <v>55</v>
      </c>
      <c r="G53" s="475" t="s">
        <v>100</v>
      </c>
      <c r="H53" s="474" t="s">
        <v>38</v>
      </c>
      <c r="I53" s="474"/>
    </row>
    <row r="54" ht="15.75" customHeight="1" spans="1:9">
      <c r="A54" s="474" t="s">
        <v>101</v>
      </c>
      <c r="B54" s="474" t="s">
        <v>102</v>
      </c>
      <c r="C54" s="474" t="s">
        <v>72</v>
      </c>
      <c r="D54" s="474"/>
      <c r="E54" s="474" t="s">
        <v>32</v>
      </c>
      <c r="F54" s="474" t="s">
        <v>32</v>
      </c>
      <c r="G54" s="475" t="s">
        <v>103</v>
      </c>
      <c r="H54" s="474" t="s">
        <v>38</v>
      </c>
      <c r="I54" s="474"/>
    </row>
    <row r="55" ht="15.75" customHeight="1" spans="1:9">
      <c r="A55" s="474"/>
      <c r="B55" s="474"/>
      <c r="C55" s="474"/>
      <c r="D55" s="474"/>
      <c r="E55" s="474"/>
      <c r="F55" s="474" t="s">
        <v>50</v>
      </c>
      <c r="G55" s="475" t="s">
        <v>104</v>
      </c>
      <c r="H55" s="474" t="s">
        <v>61</v>
      </c>
      <c r="I55" s="474"/>
    </row>
    <row r="56" ht="15.75" customHeight="1" spans="1:9">
      <c r="A56" s="474" t="s">
        <v>105</v>
      </c>
      <c r="B56" s="474" t="s">
        <v>106</v>
      </c>
      <c r="C56" s="474" t="s">
        <v>72</v>
      </c>
      <c r="D56" s="474"/>
      <c r="E56" s="474" t="s">
        <v>32</v>
      </c>
      <c r="F56" s="474" t="s">
        <v>107</v>
      </c>
      <c r="G56" s="475" t="s">
        <v>108</v>
      </c>
      <c r="H56" s="474"/>
      <c r="I56" s="474"/>
    </row>
    <row r="57" ht="15.75" customHeight="1" spans="1:9">
      <c r="A57" s="476" t="s">
        <v>109</v>
      </c>
      <c r="B57" s="476"/>
      <c r="C57" s="476"/>
      <c r="D57" s="476"/>
      <c r="E57" s="476"/>
      <c r="F57" s="476"/>
      <c r="G57" s="477"/>
      <c r="H57" s="476"/>
      <c r="I57" s="474"/>
    </row>
    <row r="58" ht="15.75" customHeight="1" spans="1:9">
      <c r="A58" s="474" t="s">
        <v>110</v>
      </c>
      <c r="B58" s="474" t="s">
        <v>111</v>
      </c>
      <c r="C58" s="474" t="s">
        <v>112</v>
      </c>
      <c r="D58" s="474"/>
      <c r="E58" s="474" t="s">
        <v>32</v>
      </c>
      <c r="F58" s="474" t="s">
        <v>32</v>
      </c>
      <c r="G58" s="475" t="s">
        <v>113</v>
      </c>
      <c r="H58" s="474" t="s">
        <v>38</v>
      </c>
      <c r="I58" s="474"/>
    </row>
    <row r="59" ht="15.75" customHeight="1" spans="1:9">
      <c r="A59" s="474"/>
      <c r="B59" s="474"/>
      <c r="C59" s="474"/>
      <c r="D59" s="474"/>
      <c r="E59" s="474"/>
      <c r="F59" s="474" t="s">
        <v>32</v>
      </c>
      <c r="G59" s="475" t="s">
        <v>114</v>
      </c>
      <c r="H59" s="474"/>
      <c r="I59" s="474"/>
    </row>
    <row r="60" ht="15.75" customHeight="1" spans="1:9">
      <c r="A60" s="474"/>
      <c r="B60" s="474"/>
      <c r="C60" s="474"/>
      <c r="D60" s="474"/>
      <c r="E60" s="474"/>
      <c r="F60" s="474" t="s">
        <v>32</v>
      </c>
      <c r="G60" s="475" t="s">
        <v>115</v>
      </c>
      <c r="H60" s="474" t="s">
        <v>38</v>
      </c>
      <c r="I60" s="474"/>
    </row>
    <row r="61" ht="15.75" customHeight="1" spans="1:9">
      <c r="A61" s="474"/>
      <c r="B61" s="474"/>
      <c r="C61" s="474"/>
      <c r="D61" s="474"/>
      <c r="E61" s="474"/>
      <c r="F61" s="474" t="s">
        <v>116</v>
      </c>
      <c r="G61" s="475" t="s">
        <v>117</v>
      </c>
      <c r="H61" s="474"/>
      <c r="I61" s="474"/>
    </row>
    <row r="62" ht="15.75" customHeight="1" spans="1:9">
      <c r="A62" s="474"/>
      <c r="B62" s="474"/>
      <c r="C62" s="474"/>
      <c r="D62" s="474"/>
      <c r="E62" s="474"/>
      <c r="F62" s="474" t="s">
        <v>116</v>
      </c>
      <c r="G62" s="475" t="s">
        <v>118</v>
      </c>
      <c r="H62" s="474"/>
      <c r="I62" s="474"/>
    </row>
    <row r="63" ht="15.75" customHeight="1" spans="1:9">
      <c r="A63" s="474"/>
      <c r="B63" s="474"/>
      <c r="C63" s="474"/>
      <c r="D63" s="474"/>
      <c r="E63" s="474"/>
      <c r="F63" s="474" t="s">
        <v>32</v>
      </c>
      <c r="G63" s="475" t="s">
        <v>119</v>
      </c>
      <c r="H63" s="474" t="s">
        <v>38</v>
      </c>
      <c r="I63" s="474"/>
    </row>
    <row r="64" ht="15.75" customHeight="1" spans="1:9">
      <c r="A64" s="474"/>
      <c r="B64" s="474"/>
      <c r="C64" s="474"/>
      <c r="D64" s="474"/>
      <c r="E64" s="474"/>
      <c r="F64" s="474" t="s">
        <v>32</v>
      </c>
      <c r="G64" s="475" t="s">
        <v>120</v>
      </c>
      <c r="H64" s="474" t="s">
        <v>38</v>
      </c>
      <c r="I64" s="474"/>
    </row>
    <row r="65" ht="15.75" customHeight="1" spans="1:9">
      <c r="A65" s="474" t="s">
        <v>121</v>
      </c>
      <c r="B65" s="474" t="s">
        <v>122</v>
      </c>
      <c r="C65" s="474" t="s">
        <v>112</v>
      </c>
      <c r="D65" s="474"/>
      <c r="E65" s="474" t="s">
        <v>18</v>
      </c>
      <c r="F65" s="474" t="s">
        <v>18</v>
      </c>
      <c r="G65" s="475" t="s">
        <v>123</v>
      </c>
      <c r="H65" s="474" t="s">
        <v>38</v>
      </c>
      <c r="I65" s="474"/>
    </row>
    <row r="66" ht="15.75" customHeight="1" spans="1:9">
      <c r="A66" s="474"/>
      <c r="B66" s="474"/>
      <c r="C66" s="474"/>
      <c r="D66" s="474"/>
      <c r="E66" s="474"/>
      <c r="F66" s="474" t="s">
        <v>18</v>
      </c>
      <c r="G66" s="475" t="s">
        <v>119</v>
      </c>
      <c r="H66" s="474" t="s">
        <v>38</v>
      </c>
      <c r="I66" s="474"/>
    </row>
    <row r="67" ht="15.75" customHeight="1" spans="1:9">
      <c r="A67" s="474"/>
      <c r="B67" s="474"/>
      <c r="C67" s="474"/>
      <c r="D67" s="474"/>
      <c r="E67" s="474"/>
      <c r="F67" s="474" t="s">
        <v>18</v>
      </c>
      <c r="G67" s="475" t="s">
        <v>124</v>
      </c>
      <c r="H67" s="474" t="s">
        <v>38</v>
      </c>
      <c r="I67" s="474"/>
    </row>
    <row r="68" ht="15.75" customHeight="1" spans="1:9">
      <c r="A68" s="474" t="s">
        <v>125</v>
      </c>
      <c r="B68" s="474" t="s">
        <v>80</v>
      </c>
      <c r="C68" s="474" t="s">
        <v>112</v>
      </c>
      <c r="D68" s="474"/>
      <c r="E68" s="474" t="s">
        <v>36</v>
      </c>
      <c r="F68" s="474" t="s">
        <v>36</v>
      </c>
      <c r="G68" s="475" t="s">
        <v>126</v>
      </c>
      <c r="H68" s="474" t="s">
        <v>38</v>
      </c>
      <c r="I68" s="474"/>
    </row>
    <row r="69" ht="15.75" customHeight="1" spans="1:9">
      <c r="A69" s="474"/>
      <c r="B69" s="474"/>
      <c r="C69" s="474"/>
      <c r="D69" s="474"/>
      <c r="E69" s="474"/>
      <c r="F69" s="474" t="s">
        <v>36</v>
      </c>
      <c r="G69" s="475" t="s">
        <v>127</v>
      </c>
      <c r="H69" s="474" t="s">
        <v>38</v>
      </c>
      <c r="I69" s="474"/>
    </row>
    <row r="70" ht="15.75" customHeight="1" spans="1:9">
      <c r="A70" s="474" t="s">
        <v>128</v>
      </c>
      <c r="B70" s="474" t="s">
        <v>129</v>
      </c>
      <c r="C70" s="474" t="s">
        <v>130</v>
      </c>
      <c r="D70" s="474"/>
      <c r="E70" s="474" t="s">
        <v>32</v>
      </c>
      <c r="F70" s="474" t="s">
        <v>32</v>
      </c>
      <c r="G70" s="475" t="s">
        <v>131</v>
      </c>
      <c r="H70" s="474" t="s">
        <v>38</v>
      </c>
      <c r="I70" s="474"/>
    </row>
    <row r="71" ht="15.75" customHeight="1" spans="1:9">
      <c r="A71" s="474"/>
      <c r="B71" s="474"/>
      <c r="C71" s="474"/>
      <c r="D71" s="474"/>
      <c r="E71" s="474"/>
      <c r="F71" s="474" t="s">
        <v>32</v>
      </c>
      <c r="G71" s="475" t="s">
        <v>132</v>
      </c>
      <c r="H71" s="474" t="s">
        <v>38</v>
      </c>
      <c r="I71" s="474"/>
    </row>
    <row r="72" ht="15.75" customHeight="1" spans="1:9">
      <c r="A72" s="474"/>
      <c r="B72" s="474"/>
      <c r="C72" s="474"/>
      <c r="D72" s="474"/>
      <c r="E72" s="474"/>
      <c r="F72" s="474" t="s">
        <v>12</v>
      </c>
      <c r="G72" s="475" t="s">
        <v>133</v>
      </c>
      <c r="H72" s="474" t="s">
        <v>61</v>
      </c>
      <c r="I72" s="474"/>
    </row>
    <row r="73" ht="15.75" customHeight="1" spans="1:9">
      <c r="A73" s="474"/>
      <c r="B73" s="474"/>
      <c r="C73" s="474"/>
      <c r="D73" s="474"/>
      <c r="E73" s="474"/>
      <c r="F73" s="474" t="s">
        <v>55</v>
      </c>
      <c r="G73" s="475" t="s">
        <v>134</v>
      </c>
      <c r="H73" s="474"/>
      <c r="I73" s="474"/>
    </row>
    <row r="74" ht="15.75" customHeight="1" spans="1:9">
      <c r="A74" s="474" t="s">
        <v>135</v>
      </c>
      <c r="B74" s="474" t="s">
        <v>136</v>
      </c>
      <c r="C74" s="474" t="s">
        <v>130</v>
      </c>
      <c r="D74" s="474"/>
      <c r="E74" s="474" t="s">
        <v>55</v>
      </c>
      <c r="F74" s="474" t="s">
        <v>137</v>
      </c>
      <c r="G74" s="475" t="s">
        <v>138</v>
      </c>
      <c r="H74" s="474"/>
      <c r="I74" s="474"/>
    </row>
    <row r="75" ht="15.75" customHeight="1" spans="1:9">
      <c r="A75" s="474"/>
      <c r="B75" s="474"/>
      <c r="C75" s="474"/>
      <c r="D75" s="474"/>
      <c r="E75" s="474"/>
      <c r="F75" s="474" t="s">
        <v>55</v>
      </c>
      <c r="G75" s="475" t="s">
        <v>139</v>
      </c>
      <c r="H75" s="474" t="s">
        <v>38</v>
      </c>
      <c r="I75" s="474"/>
    </row>
    <row r="76" ht="15.75" customHeight="1" spans="1:9">
      <c r="A76" s="474" t="s">
        <v>140</v>
      </c>
      <c r="B76" s="474" t="s">
        <v>141</v>
      </c>
      <c r="C76" s="474" t="s">
        <v>130</v>
      </c>
      <c r="D76" s="474"/>
      <c r="E76" s="474" t="s">
        <v>36</v>
      </c>
      <c r="F76" s="474" t="s">
        <v>36</v>
      </c>
      <c r="G76" s="475" t="s">
        <v>142</v>
      </c>
      <c r="H76" s="474" t="s">
        <v>38</v>
      </c>
      <c r="I76" s="474"/>
    </row>
    <row r="77" ht="15.75" customHeight="1" spans="1:9">
      <c r="A77" s="474"/>
      <c r="B77" s="474"/>
      <c r="C77" s="474"/>
      <c r="D77" s="474"/>
      <c r="E77" s="474"/>
      <c r="F77" s="474" t="s">
        <v>36</v>
      </c>
      <c r="G77" s="475" t="s">
        <v>143</v>
      </c>
      <c r="H77" s="474" t="s">
        <v>38</v>
      </c>
      <c r="I77" s="474"/>
    </row>
    <row r="78" ht="15.75" customHeight="1" spans="1:9">
      <c r="A78" s="474"/>
      <c r="B78" s="474"/>
      <c r="C78" s="474"/>
      <c r="D78" s="474"/>
      <c r="E78" s="474"/>
      <c r="F78" s="474" t="s">
        <v>36</v>
      </c>
      <c r="G78" s="475" t="s">
        <v>144</v>
      </c>
      <c r="H78" s="474" t="s">
        <v>38</v>
      </c>
      <c r="I78" s="474"/>
    </row>
    <row r="79" ht="15.75" customHeight="1" spans="1:9">
      <c r="A79" s="474"/>
      <c r="B79" s="474"/>
      <c r="C79" s="474"/>
      <c r="D79" s="474"/>
      <c r="E79" s="474"/>
      <c r="F79" s="474" t="s">
        <v>36</v>
      </c>
      <c r="G79" s="475" t="s">
        <v>145</v>
      </c>
      <c r="H79" s="474" t="s">
        <v>38</v>
      </c>
      <c r="I79" s="474"/>
    </row>
    <row r="80" ht="15.75" customHeight="1" spans="1:9">
      <c r="A80" s="474" t="s">
        <v>146</v>
      </c>
      <c r="B80" s="474" t="s">
        <v>71</v>
      </c>
      <c r="C80" s="474" t="s">
        <v>130</v>
      </c>
      <c r="D80" s="474"/>
      <c r="E80" s="474" t="s">
        <v>32</v>
      </c>
      <c r="F80" s="474" t="s">
        <v>50</v>
      </c>
      <c r="G80" s="475" t="s">
        <v>147</v>
      </c>
      <c r="H80" s="474" t="s">
        <v>20</v>
      </c>
      <c r="I80" s="474"/>
    </row>
    <row r="81" ht="15.75" customHeight="1" spans="1:9">
      <c r="A81" s="474"/>
      <c r="B81" s="474"/>
      <c r="C81" s="474"/>
      <c r="D81" s="474"/>
      <c r="E81" s="474"/>
      <c r="F81" s="474" t="s">
        <v>32</v>
      </c>
      <c r="G81" s="475" t="s">
        <v>148</v>
      </c>
      <c r="H81" s="474" t="s">
        <v>38</v>
      </c>
      <c r="I81" s="474"/>
    </row>
    <row r="82" ht="15.75" customHeight="1" spans="1:9">
      <c r="A82" s="474" t="s">
        <v>149</v>
      </c>
      <c r="B82" s="474" t="s">
        <v>150</v>
      </c>
      <c r="C82" s="474" t="s">
        <v>130</v>
      </c>
      <c r="D82" s="474"/>
      <c r="E82" s="474" t="s">
        <v>36</v>
      </c>
      <c r="F82" s="474" t="s">
        <v>36</v>
      </c>
      <c r="G82" s="475" t="s">
        <v>151</v>
      </c>
      <c r="H82" s="474" t="s">
        <v>38</v>
      </c>
      <c r="I82" s="474"/>
    </row>
    <row r="83" ht="15.75" customHeight="1" spans="1:9">
      <c r="A83" s="474"/>
      <c r="B83" s="474"/>
      <c r="C83" s="474"/>
      <c r="D83" s="474"/>
      <c r="E83" s="474"/>
      <c r="F83" s="474" t="s">
        <v>152</v>
      </c>
      <c r="G83" s="475" t="s">
        <v>153</v>
      </c>
      <c r="H83" s="474"/>
      <c r="I83" s="474"/>
    </row>
    <row r="84" ht="15.75" customHeight="1" spans="1:9">
      <c r="A84" s="476" t="s">
        <v>109</v>
      </c>
      <c r="B84" s="476"/>
      <c r="C84" s="476"/>
      <c r="D84" s="476"/>
      <c r="E84" s="476"/>
      <c r="F84" s="476"/>
      <c r="G84" s="477"/>
      <c r="H84" s="476"/>
      <c r="I84" s="474"/>
    </row>
    <row r="85" ht="15.75" customHeight="1" spans="1:9">
      <c r="A85" s="474" t="s">
        <v>154</v>
      </c>
      <c r="B85" s="474" t="s">
        <v>155</v>
      </c>
      <c r="C85" s="474" t="s">
        <v>156</v>
      </c>
      <c r="D85" s="474"/>
      <c r="E85" s="474" t="s">
        <v>63</v>
      </c>
      <c r="F85" s="474" t="s">
        <v>50</v>
      </c>
      <c r="G85" s="475" t="s">
        <v>157</v>
      </c>
      <c r="H85" s="474"/>
      <c r="I85" s="474" t="s">
        <v>158</v>
      </c>
    </row>
    <row r="86" ht="15.75" customHeight="1" spans="1:9">
      <c r="A86" s="474"/>
      <c r="B86" s="474"/>
      <c r="C86" s="474"/>
      <c r="D86" s="474"/>
      <c r="E86" s="474"/>
      <c r="F86" s="474" t="s">
        <v>55</v>
      </c>
      <c r="G86" s="475" t="s">
        <v>159</v>
      </c>
      <c r="H86" s="474"/>
      <c r="I86" s="474" t="s">
        <v>160</v>
      </c>
    </row>
    <row r="87" ht="15.75" customHeight="1" spans="1:9">
      <c r="A87" s="474"/>
      <c r="B87" s="474"/>
      <c r="C87" s="474"/>
      <c r="D87" s="474"/>
      <c r="E87" s="474"/>
      <c r="F87" s="474" t="s">
        <v>63</v>
      </c>
      <c r="G87" s="475" t="s">
        <v>161</v>
      </c>
      <c r="H87" s="474" t="s">
        <v>38</v>
      </c>
      <c r="I87" s="474"/>
    </row>
    <row r="88" ht="15.75" customHeight="1" spans="1:9">
      <c r="A88" s="474"/>
      <c r="B88" s="474"/>
      <c r="C88" s="474"/>
      <c r="D88" s="474"/>
      <c r="E88" s="474"/>
      <c r="F88" s="474" t="s">
        <v>162</v>
      </c>
      <c r="G88" s="475" t="s">
        <v>163</v>
      </c>
      <c r="H88" s="474"/>
      <c r="I88" s="474"/>
    </row>
    <row r="89" ht="15.75" customHeight="1" spans="1:9">
      <c r="A89" s="474"/>
      <c r="B89" s="474"/>
      <c r="C89" s="474"/>
      <c r="D89" s="474"/>
      <c r="E89" s="474"/>
      <c r="F89" s="474" t="s">
        <v>63</v>
      </c>
      <c r="G89" s="475" t="s">
        <v>164</v>
      </c>
      <c r="H89" s="474"/>
      <c r="I89" s="474"/>
    </row>
    <row r="90" ht="15.75" customHeight="1" spans="1:9">
      <c r="A90" s="474" t="s">
        <v>165</v>
      </c>
      <c r="B90" s="474" t="s">
        <v>71</v>
      </c>
      <c r="C90" s="474" t="s">
        <v>156</v>
      </c>
      <c r="D90" s="474"/>
      <c r="E90" s="474" t="s">
        <v>32</v>
      </c>
      <c r="F90" s="474" t="s">
        <v>32</v>
      </c>
      <c r="G90" s="475" t="s">
        <v>166</v>
      </c>
      <c r="H90" s="474"/>
      <c r="I90" s="474"/>
    </row>
    <row r="91" ht="15.75" customHeight="1" spans="1:9">
      <c r="A91" s="474"/>
      <c r="B91" s="474"/>
      <c r="C91" s="474"/>
      <c r="D91" s="474"/>
      <c r="E91" s="474"/>
      <c r="F91" s="474" t="s">
        <v>32</v>
      </c>
      <c r="G91" s="475" t="s">
        <v>167</v>
      </c>
      <c r="H91" s="474"/>
      <c r="I91" s="474"/>
    </row>
    <row r="92" ht="15.75" customHeight="1" spans="1:9">
      <c r="A92" s="474" t="s">
        <v>168</v>
      </c>
      <c r="B92" s="474" t="s">
        <v>169</v>
      </c>
      <c r="C92" s="474" t="s">
        <v>170</v>
      </c>
      <c r="D92" s="474"/>
      <c r="E92" s="474" t="s">
        <v>32</v>
      </c>
      <c r="F92" s="474" t="s">
        <v>32</v>
      </c>
      <c r="G92" s="475" t="s">
        <v>171</v>
      </c>
      <c r="H92" s="474" t="s">
        <v>38</v>
      </c>
      <c r="I92" s="474"/>
    </row>
    <row r="93" ht="15.75" customHeight="1" spans="1:9">
      <c r="A93" s="474"/>
      <c r="B93" s="474"/>
      <c r="C93" s="474"/>
      <c r="D93" s="474"/>
      <c r="E93" s="474"/>
      <c r="F93" s="474" t="s">
        <v>172</v>
      </c>
      <c r="G93" s="475" t="s">
        <v>117</v>
      </c>
      <c r="H93" s="474"/>
      <c r="I93" s="474"/>
    </row>
    <row r="94" ht="15.75" customHeight="1" spans="1:9">
      <c r="A94" s="474"/>
      <c r="B94" s="474"/>
      <c r="C94" s="474"/>
      <c r="D94" s="474"/>
      <c r="E94" s="474"/>
      <c r="F94" s="474" t="s">
        <v>32</v>
      </c>
      <c r="G94" s="475" t="s">
        <v>173</v>
      </c>
      <c r="H94" s="474" t="s">
        <v>38</v>
      </c>
      <c r="I94" s="474"/>
    </row>
    <row r="95" ht="15.75" customHeight="1" spans="1:9">
      <c r="A95" s="474"/>
      <c r="B95" s="474"/>
      <c r="C95" s="474"/>
      <c r="D95" s="474"/>
      <c r="E95" s="474"/>
      <c r="F95" s="474" t="s">
        <v>32</v>
      </c>
      <c r="G95" s="475" t="s">
        <v>174</v>
      </c>
      <c r="H95" s="474" t="s">
        <v>38</v>
      </c>
      <c r="I95" s="474"/>
    </row>
    <row r="96" ht="15.75" customHeight="1" spans="1:9">
      <c r="A96" s="474"/>
      <c r="B96" s="474"/>
      <c r="C96" s="474"/>
      <c r="D96" s="474"/>
      <c r="E96" s="474"/>
      <c r="F96" s="474" t="s">
        <v>32</v>
      </c>
      <c r="G96" s="475" t="s">
        <v>175</v>
      </c>
      <c r="H96" s="474" t="s">
        <v>38</v>
      </c>
      <c r="I96" s="474"/>
    </row>
    <row r="97" ht="15.75" customHeight="1" spans="1:9">
      <c r="A97" s="474"/>
      <c r="B97" s="474"/>
      <c r="C97" s="474"/>
      <c r="D97" s="474"/>
      <c r="E97" s="474"/>
      <c r="F97" s="474" t="s">
        <v>172</v>
      </c>
      <c r="G97" s="475" t="s">
        <v>176</v>
      </c>
      <c r="H97" s="474"/>
      <c r="I97" s="474"/>
    </row>
    <row r="98" ht="15.75" customHeight="1" spans="1:9">
      <c r="A98" s="474" t="s">
        <v>177</v>
      </c>
      <c r="B98" s="474" t="s">
        <v>178</v>
      </c>
      <c r="C98" s="474" t="s">
        <v>179</v>
      </c>
      <c r="D98" s="474"/>
      <c r="E98" s="474" t="s">
        <v>12</v>
      </c>
      <c r="F98" s="474" t="s">
        <v>12</v>
      </c>
      <c r="G98" s="475" t="s">
        <v>180</v>
      </c>
      <c r="H98" s="474" t="s">
        <v>38</v>
      </c>
      <c r="I98" s="474"/>
    </row>
    <row r="99" ht="15.75" customHeight="1" spans="1:9">
      <c r="A99" s="474"/>
      <c r="B99" s="474"/>
      <c r="C99" s="474"/>
      <c r="D99" s="474"/>
      <c r="E99" s="474"/>
      <c r="F99" s="474" t="s">
        <v>12</v>
      </c>
      <c r="G99" s="475" t="s">
        <v>181</v>
      </c>
      <c r="H99" s="474" t="s">
        <v>38</v>
      </c>
      <c r="I99" s="474"/>
    </row>
    <row r="100" ht="15.75" customHeight="1" spans="1:9">
      <c r="A100" s="474"/>
      <c r="B100" s="474"/>
      <c r="C100" s="474"/>
      <c r="D100" s="474"/>
      <c r="E100" s="474"/>
      <c r="F100" s="474" t="s">
        <v>12</v>
      </c>
      <c r="G100" s="475" t="s">
        <v>182</v>
      </c>
      <c r="H100" s="474" t="s">
        <v>38</v>
      </c>
      <c r="I100" s="474"/>
    </row>
    <row r="101" ht="15.75" customHeight="1" spans="1:9">
      <c r="A101" s="474" t="s">
        <v>183</v>
      </c>
      <c r="B101" s="474" t="s">
        <v>184</v>
      </c>
      <c r="C101" s="474" t="s">
        <v>179</v>
      </c>
      <c r="D101" s="474"/>
      <c r="E101" s="474" t="s">
        <v>63</v>
      </c>
      <c r="F101" s="474" t="s">
        <v>63</v>
      </c>
      <c r="G101" s="475" t="s">
        <v>185</v>
      </c>
      <c r="H101" s="474" t="s">
        <v>38</v>
      </c>
      <c r="I101" s="474"/>
    </row>
    <row r="102" ht="15.75" customHeight="1" spans="1:9">
      <c r="A102" s="474"/>
      <c r="B102" s="474"/>
      <c r="C102" s="474"/>
      <c r="D102" s="474"/>
      <c r="E102" s="474"/>
      <c r="F102" s="474" t="s">
        <v>186</v>
      </c>
      <c r="G102" s="475" t="s">
        <v>187</v>
      </c>
      <c r="H102" s="474" t="s">
        <v>20</v>
      </c>
      <c r="I102" s="474"/>
    </row>
    <row r="103" ht="15.75" customHeight="1" spans="1:9">
      <c r="A103" s="474"/>
      <c r="B103" s="474"/>
      <c r="C103" s="474"/>
      <c r="D103" s="474"/>
      <c r="E103" s="474"/>
      <c r="F103" s="474" t="s">
        <v>186</v>
      </c>
      <c r="G103" s="475" t="s">
        <v>188</v>
      </c>
      <c r="H103" s="474" t="s">
        <v>20</v>
      </c>
      <c r="I103" s="474"/>
    </row>
    <row r="104" ht="15.75" customHeight="1" spans="1:9">
      <c r="A104" s="474"/>
      <c r="B104" s="474"/>
      <c r="C104" s="474"/>
      <c r="D104" s="474"/>
      <c r="E104" s="474"/>
      <c r="F104" s="474" t="s">
        <v>50</v>
      </c>
      <c r="G104" s="475" t="s">
        <v>189</v>
      </c>
      <c r="H104" s="474"/>
      <c r="I104" s="474"/>
    </row>
    <row r="105" ht="15.75" customHeight="1" spans="1:9">
      <c r="A105" s="474"/>
      <c r="B105" s="474"/>
      <c r="C105" s="474"/>
      <c r="D105" s="474"/>
      <c r="E105" s="474"/>
      <c r="F105" s="474" t="s">
        <v>36</v>
      </c>
      <c r="G105" s="475" t="s">
        <v>190</v>
      </c>
      <c r="H105" s="474"/>
      <c r="I105" s="474"/>
    </row>
    <row r="106" ht="15.75" customHeight="1" spans="1:9">
      <c r="A106" s="474"/>
      <c r="B106" s="474"/>
      <c r="C106" s="474"/>
      <c r="D106" s="474"/>
      <c r="E106" s="474"/>
      <c r="F106" s="474" t="s">
        <v>191</v>
      </c>
      <c r="G106" s="475" t="s">
        <v>192</v>
      </c>
      <c r="H106" s="474"/>
      <c r="I106" s="474"/>
    </row>
    <row r="107" ht="15.75" customHeight="1" spans="1:9">
      <c r="A107" s="474"/>
      <c r="B107" s="474"/>
      <c r="C107" s="474"/>
      <c r="D107" s="474"/>
      <c r="E107" s="474"/>
      <c r="F107" s="474" t="s">
        <v>55</v>
      </c>
      <c r="G107" s="475"/>
      <c r="H107" s="474"/>
      <c r="I107" s="474"/>
    </row>
    <row r="108" ht="15.75" customHeight="1" spans="1:9">
      <c r="A108" s="474"/>
      <c r="B108" s="474"/>
      <c r="C108" s="474"/>
      <c r="D108" s="474"/>
      <c r="E108" s="474"/>
      <c r="F108" s="474" t="s">
        <v>50</v>
      </c>
      <c r="G108" s="475"/>
      <c r="H108" s="474"/>
      <c r="I108" s="474"/>
    </row>
    <row r="109" ht="15.75" customHeight="1" spans="1:9">
      <c r="A109" s="474"/>
      <c r="B109" s="474"/>
      <c r="C109" s="474"/>
      <c r="D109" s="474"/>
      <c r="E109" s="474"/>
      <c r="F109" s="474" t="s">
        <v>50</v>
      </c>
      <c r="G109" s="475" t="s">
        <v>193</v>
      </c>
      <c r="H109" s="474"/>
      <c r="I109" s="474"/>
    </row>
    <row r="110" ht="15.75" customHeight="1" spans="1:9">
      <c r="A110" s="474"/>
      <c r="B110" s="474"/>
      <c r="C110" s="474"/>
      <c r="D110" s="474"/>
      <c r="E110" s="474"/>
      <c r="F110" s="474" t="s">
        <v>186</v>
      </c>
      <c r="G110" s="475" t="s">
        <v>194</v>
      </c>
      <c r="H110" s="474"/>
      <c r="I110" s="474"/>
    </row>
    <row r="111" ht="15.75" customHeight="1" spans="1:9">
      <c r="A111" s="474"/>
      <c r="B111" s="474"/>
      <c r="C111" s="474"/>
      <c r="D111" s="474"/>
      <c r="E111" s="474"/>
      <c r="F111" s="474" t="s">
        <v>63</v>
      </c>
      <c r="G111" s="475" t="s">
        <v>195</v>
      </c>
      <c r="H111" s="474" t="s">
        <v>20</v>
      </c>
      <c r="I111" s="474"/>
    </row>
    <row r="112" ht="28.5" customHeight="1" spans="1:9">
      <c r="A112" s="474" t="s">
        <v>196</v>
      </c>
      <c r="B112" s="474" t="s">
        <v>197</v>
      </c>
      <c r="C112" s="474" t="s">
        <v>198</v>
      </c>
      <c r="D112" s="474"/>
      <c r="E112" s="474" t="s">
        <v>12</v>
      </c>
      <c r="F112" s="474" t="s">
        <v>12</v>
      </c>
      <c r="G112" s="475" t="s">
        <v>199</v>
      </c>
      <c r="H112" s="474"/>
      <c r="I112" s="474"/>
    </row>
    <row r="113" ht="15.75" customHeight="1" spans="1:9">
      <c r="A113" s="474"/>
      <c r="B113" s="474"/>
      <c r="C113" s="474"/>
      <c r="D113" s="474"/>
      <c r="E113" s="474"/>
      <c r="F113" s="474" t="s">
        <v>12</v>
      </c>
      <c r="G113" s="475" t="s">
        <v>200</v>
      </c>
      <c r="H113" s="474"/>
      <c r="I113" s="474"/>
    </row>
    <row r="114" ht="15.75" customHeight="1" spans="1:9">
      <c r="A114" s="474"/>
      <c r="B114" s="474"/>
      <c r="C114" s="474"/>
      <c r="D114" s="474"/>
      <c r="E114" s="474"/>
      <c r="F114" s="474" t="s">
        <v>12</v>
      </c>
      <c r="G114" s="475" t="s">
        <v>201</v>
      </c>
      <c r="H114" s="474"/>
      <c r="I114" s="474"/>
    </row>
    <row r="115" ht="15.75" customHeight="1" spans="1:9">
      <c r="A115" s="474"/>
      <c r="B115" s="474"/>
      <c r="C115" s="474"/>
      <c r="D115" s="474"/>
      <c r="E115" s="474"/>
      <c r="F115" s="474" t="s">
        <v>202</v>
      </c>
      <c r="G115" s="475" t="s">
        <v>203</v>
      </c>
      <c r="H115" s="474"/>
      <c r="I115" s="474"/>
    </row>
    <row r="116" ht="15.75" customHeight="1" spans="1:9">
      <c r="A116" s="474" t="s">
        <v>204</v>
      </c>
      <c r="B116" s="474" t="s">
        <v>205</v>
      </c>
      <c r="C116" s="474" t="s">
        <v>198</v>
      </c>
      <c r="D116" s="474"/>
      <c r="E116" s="474" t="s">
        <v>50</v>
      </c>
      <c r="F116" s="474" t="s">
        <v>81</v>
      </c>
      <c r="G116" s="475" t="s">
        <v>206</v>
      </c>
      <c r="H116" s="474"/>
      <c r="I116" s="474"/>
    </row>
    <row r="117" ht="15.75" customHeight="1" spans="1:9">
      <c r="A117" s="474" t="s">
        <v>207</v>
      </c>
      <c r="B117" s="474" t="s">
        <v>208</v>
      </c>
      <c r="C117" s="474" t="s">
        <v>209</v>
      </c>
      <c r="D117" s="474"/>
      <c r="E117" s="474" t="s">
        <v>66</v>
      </c>
      <c r="F117" s="474" t="s">
        <v>66</v>
      </c>
      <c r="G117" s="477" t="s">
        <v>210</v>
      </c>
      <c r="H117" s="474"/>
      <c r="I117" s="474"/>
    </row>
    <row r="118" ht="15.75" customHeight="1" spans="1:9">
      <c r="A118" s="474"/>
      <c r="B118" s="474"/>
      <c r="C118" s="474"/>
      <c r="D118" s="474"/>
      <c r="E118" s="474"/>
      <c r="F118" s="474" t="s">
        <v>55</v>
      </c>
      <c r="G118" s="477" t="s">
        <v>211</v>
      </c>
      <c r="H118" s="474"/>
      <c r="I118" s="474"/>
    </row>
    <row r="119" ht="15.75" customHeight="1" spans="1:9">
      <c r="A119" s="474" t="s">
        <v>212</v>
      </c>
      <c r="B119" s="474" t="s">
        <v>213</v>
      </c>
      <c r="C119" s="474" t="s">
        <v>209</v>
      </c>
      <c r="D119" s="474"/>
      <c r="E119" s="474" t="s">
        <v>12</v>
      </c>
      <c r="F119" s="474" t="s">
        <v>12</v>
      </c>
      <c r="G119" s="477" t="s">
        <v>214</v>
      </c>
      <c r="H119" s="474"/>
      <c r="I119" s="474"/>
    </row>
    <row r="120" ht="15.75" customHeight="1" spans="1:9">
      <c r="A120" s="474"/>
      <c r="B120" s="474"/>
      <c r="C120" s="474"/>
      <c r="D120" s="474"/>
      <c r="E120" s="474"/>
      <c r="F120" s="474" t="s">
        <v>55</v>
      </c>
      <c r="G120" s="477" t="s">
        <v>215</v>
      </c>
      <c r="H120" s="474"/>
      <c r="I120" s="474"/>
    </row>
    <row r="121" ht="15.75" customHeight="1" spans="1:9">
      <c r="A121" s="474" t="s">
        <v>216</v>
      </c>
      <c r="B121" s="474" t="s">
        <v>217</v>
      </c>
      <c r="C121" s="474" t="s">
        <v>209</v>
      </c>
      <c r="D121" s="474"/>
      <c r="E121" s="474" t="s">
        <v>12</v>
      </c>
      <c r="F121" s="474" t="s">
        <v>218</v>
      </c>
      <c r="G121" s="475" t="s">
        <v>219</v>
      </c>
      <c r="H121" s="474"/>
      <c r="I121" s="474"/>
    </row>
    <row r="122" ht="15.75" customHeight="1" spans="1:9">
      <c r="A122" s="474"/>
      <c r="B122" s="474"/>
      <c r="C122" s="474"/>
      <c r="D122" s="474"/>
      <c r="E122" s="474"/>
      <c r="F122" s="474" t="s">
        <v>12</v>
      </c>
      <c r="G122" s="475" t="s">
        <v>220</v>
      </c>
      <c r="H122" s="474"/>
      <c r="I122" s="474"/>
    </row>
    <row r="123" ht="15.75" customHeight="1" spans="1:9">
      <c r="A123" s="474"/>
      <c r="B123" s="474"/>
      <c r="C123" s="474"/>
      <c r="D123" s="474"/>
      <c r="E123" s="474"/>
      <c r="F123" s="474" t="s">
        <v>172</v>
      </c>
      <c r="G123" s="475" t="s">
        <v>221</v>
      </c>
      <c r="H123" s="474"/>
      <c r="I123" s="474"/>
    </row>
    <row r="124" ht="15.75" customHeight="1" spans="1:9">
      <c r="A124" s="474" t="s">
        <v>222</v>
      </c>
      <c r="B124" s="474" t="s">
        <v>223</v>
      </c>
      <c r="C124" s="474" t="s">
        <v>209</v>
      </c>
      <c r="D124" s="474"/>
      <c r="E124" s="474" t="s">
        <v>25</v>
      </c>
      <c r="F124" s="474" t="s">
        <v>25</v>
      </c>
      <c r="G124" s="475" t="s">
        <v>224</v>
      </c>
      <c r="H124" s="474"/>
      <c r="I124" s="474"/>
    </row>
    <row r="125" ht="15.75" customHeight="1" spans="1:9">
      <c r="A125" s="474" t="s">
        <v>225</v>
      </c>
      <c r="B125" s="474" t="s">
        <v>226</v>
      </c>
      <c r="C125" s="474" t="s">
        <v>227</v>
      </c>
      <c r="D125" s="474"/>
      <c r="E125" s="474" t="s">
        <v>55</v>
      </c>
      <c r="F125" s="474" t="s">
        <v>228</v>
      </c>
      <c r="G125" s="475" t="s">
        <v>229</v>
      </c>
      <c r="H125" s="474"/>
      <c r="I125" s="474"/>
    </row>
    <row r="126" ht="15.75" customHeight="1" spans="1:9">
      <c r="A126" s="474" t="s">
        <v>230</v>
      </c>
      <c r="B126" s="474" t="s">
        <v>231</v>
      </c>
      <c r="C126" s="474" t="s">
        <v>227</v>
      </c>
      <c r="D126" s="474"/>
      <c r="E126" s="474" t="s">
        <v>12</v>
      </c>
      <c r="F126" s="474" t="s">
        <v>12</v>
      </c>
      <c r="G126" s="475" t="s">
        <v>232</v>
      </c>
      <c r="H126" s="474"/>
      <c r="I126" s="474"/>
    </row>
    <row r="127" ht="15.75" customHeight="1" spans="1:9">
      <c r="A127" s="474"/>
      <c r="B127" s="474"/>
      <c r="C127" s="474"/>
      <c r="D127" s="474"/>
      <c r="E127" s="474"/>
      <c r="F127" s="474" t="s">
        <v>12</v>
      </c>
      <c r="G127" s="475" t="s">
        <v>233</v>
      </c>
      <c r="H127" s="474"/>
      <c r="I127" s="474"/>
    </row>
    <row r="128" ht="15.75" customHeight="1" spans="1:9">
      <c r="A128" s="474"/>
      <c r="B128" s="474"/>
      <c r="C128" s="474"/>
      <c r="D128" s="474"/>
      <c r="E128" s="474"/>
      <c r="F128" s="474" t="s">
        <v>218</v>
      </c>
      <c r="G128" s="475" t="s">
        <v>219</v>
      </c>
      <c r="H128" s="474"/>
      <c r="I128" s="474"/>
    </row>
    <row r="129" ht="15.75" customHeight="1" spans="1:9">
      <c r="A129" s="474"/>
      <c r="B129" s="474"/>
      <c r="C129" s="474"/>
      <c r="D129" s="474"/>
      <c r="E129" s="474"/>
      <c r="F129" s="474" t="s">
        <v>12</v>
      </c>
      <c r="G129" s="475" t="s">
        <v>234</v>
      </c>
      <c r="H129" s="474"/>
      <c r="I129" s="474"/>
    </row>
    <row r="130" ht="15.75" customHeight="1" spans="1:9">
      <c r="A130" s="474"/>
      <c r="B130" s="474"/>
      <c r="C130" s="474"/>
      <c r="D130" s="474"/>
      <c r="E130" s="474"/>
      <c r="F130" s="474" t="s">
        <v>12</v>
      </c>
      <c r="G130" s="475" t="s">
        <v>182</v>
      </c>
      <c r="H130" s="474"/>
      <c r="I130" s="474"/>
    </row>
    <row r="131" ht="15.75" customHeight="1" spans="1:9">
      <c r="A131" s="474"/>
      <c r="B131" s="474"/>
      <c r="C131" s="474"/>
      <c r="D131" s="474"/>
      <c r="E131" s="474"/>
      <c r="F131" s="474" t="s">
        <v>12</v>
      </c>
      <c r="G131" s="475" t="s">
        <v>220</v>
      </c>
      <c r="H131" s="474"/>
      <c r="I131" s="474"/>
    </row>
    <row r="132" ht="15.75" customHeight="1" spans="1:9">
      <c r="A132" s="474" t="s">
        <v>235</v>
      </c>
      <c r="B132" s="474" t="s">
        <v>236</v>
      </c>
      <c r="C132" s="474" t="s">
        <v>227</v>
      </c>
      <c r="D132" s="474"/>
      <c r="E132" s="474" t="s">
        <v>12</v>
      </c>
      <c r="F132" s="474" t="s">
        <v>12</v>
      </c>
      <c r="G132" s="475" t="s">
        <v>237</v>
      </c>
      <c r="H132" s="474"/>
      <c r="I132" s="474"/>
    </row>
    <row r="133" ht="15.75" customHeight="1" spans="1:9">
      <c r="A133" s="474"/>
      <c r="B133" s="474"/>
      <c r="C133" s="474"/>
      <c r="D133" s="474"/>
      <c r="E133" s="474"/>
      <c r="F133" s="474" t="s">
        <v>12</v>
      </c>
      <c r="G133" s="475" t="s">
        <v>238</v>
      </c>
      <c r="H133" s="474"/>
      <c r="I133" s="474"/>
    </row>
    <row r="134" ht="15.75" customHeight="1" spans="1:9">
      <c r="A134" s="474"/>
      <c r="B134" s="474"/>
      <c r="C134" s="474"/>
      <c r="D134" s="474"/>
      <c r="E134" s="474"/>
      <c r="F134" s="474" t="s">
        <v>12</v>
      </c>
      <c r="G134" s="475" t="s">
        <v>232</v>
      </c>
      <c r="H134" s="474"/>
      <c r="I134" s="474"/>
    </row>
    <row r="135" ht="15.75" customHeight="1" spans="1:9">
      <c r="A135" s="474"/>
      <c r="B135" s="474"/>
      <c r="C135" s="474"/>
      <c r="D135" s="474"/>
      <c r="E135" s="474"/>
      <c r="F135" s="474" t="s">
        <v>12</v>
      </c>
      <c r="G135" s="475" t="s">
        <v>239</v>
      </c>
      <c r="H135" s="474"/>
      <c r="I135" s="474"/>
    </row>
    <row r="136" ht="15.75" customHeight="1" spans="1:9">
      <c r="A136" s="474"/>
      <c r="B136" s="474"/>
      <c r="C136" s="474"/>
      <c r="D136" s="474"/>
      <c r="E136" s="474"/>
      <c r="F136" s="474" t="s">
        <v>12</v>
      </c>
      <c r="G136" s="475" t="s">
        <v>240</v>
      </c>
      <c r="H136" s="474"/>
      <c r="I136" s="474"/>
    </row>
    <row r="137" ht="15.75" customHeight="1" spans="1:9">
      <c r="A137" s="474"/>
      <c r="B137" s="474"/>
      <c r="C137" s="474"/>
      <c r="D137" s="474"/>
      <c r="E137" s="474"/>
      <c r="F137" s="474" t="s">
        <v>172</v>
      </c>
      <c r="G137" s="475" t="s">
        <v>241</v>
      </c>
      <c r="H137" s="474"/>
      <c r="I137" s="474"/>
    </row>
    <row r="138" ht="15.75" customHeight="1" spans="1:9">
      <c r="A138" s="474"/>
      <c r="B138" s="474"/>
      <c r="C138" s="474"/>
      <c r="D138" s="474"/>
      <c r="E138" s="474"/>
      <c r="F138" s="474" t="s">
        <v>172</v>
      </c>
      <c r="G138" s="475" t="s">
        <v>219</v>
      </c>
      <c r="H138" s="474"/>
      <c r="I138" s="474"/>
    </row>
    <row r="139" ht="15.75" customHeight="1" spans="1:9">
      <c r="A139" s="474"/>
      <c r="B139" s="474"/>
      <c r="C139" s="474"/>
      <c r="D139" s="474"/>
      <c r="E139" s="474"/>
      <c r="F139" s="474" t="s">
        <v>12</v>
      </c>
      <c r="G139" s="475" t="s">
        <v>242</v>
      </c>
      <c r="H139" s="474"/>
      <c r="I139" s="474"/>
    </row>
    <row r="140" ht="15.75" customHeight="1" spans="1:9">
      <c r="A140" s="474" t="s">
        <v>243</v>
      </c>
      <c r="B140" s="474" t="s">
        <v>244</v>
      </c>
      <c r="C140" s="474" t="s">
        <v>245</v>
      </c>
      <c r="D140" s="474"/>
      <c r="E140" s="474"/>
      <c r="F140" s="474" t="s">
        <v>66</v>
      </c>
      <c r="G140" s="475" t="s">
        <v>246</v>
      </c>
      <c r="H140" s="474"/>
      <c r="I140" s="474"/>
    </row>
    <row r="141" ht="15.75" customHeight="1" spans="1:9">
      <c r="A141" s="474"/>
      <c r="B141" s="474"/>
      <c r="C141" s="474"/>
      <c r="D141" s="474"/>
      <c r="E141" s="474"/>
      <c r="F141" s="474" t="s">
        <v>66</v>
      </c>
      <c r="G141" s="475" t="s">
        <v>247</v>
      </c>
      <c r="H141" s="474"/>
      <c r="I141" s="474"/>
    </row>
    <row r="142" ht="15.75" customHeight="1" spans="1:9">
      <c r="A142" s="474" t="s">
        <v>248</v>
      </c>
      <c r="B142" s="474"/>
      <c r="C142" s="474" t="s">
        <v>249</v>
      </c>
      <c r="D142" s="474"/>
      <c r="E142" s="474" t="s">
        <v>12</v>
      </c>
      <c r="F142" s="474" t="s">
        <v>12</v>
      </c>
      <c r="G142" s="475" t="s">
        <v>250</v>
      </c>
      <c r="H142" s="474"/>
      <c r="I142" s="474"/>
    </row>
    <row r="143" ht="15.75" customHeight="1" spans="1:9">
      <c r="A143" s="474"/>
      <c r="B143" s="474"/>
      <c r="C143" s="474"/>
      <c r="D143" s="474"/>
      <c r="E143" s="474"/>
      <c r="F143" s="474" t="s">
        <v>251</v>
      </c>
      <c r="G143" s="475" t="s">
        <v>252</v>
      </c>
      <c r="H143" s="474"/>
      <c r="I143" s="474"/>
    </row>
    <row r="144" ht="15.75" customHeight="1" spans="1:9">
      <c r="A144" s="474"/>
      <c r="B144" s="474"/>
      <c r="C144" s="474"/>
      <c r="D144" s="474"/>
      <c r="E144" s="474"/>
      <c r="F144" s="474" t="s">
        <v>253</v>
      </c>
      <c r="G144" s="475" t="s">
        <v>254</v>
      </c>
      <c r="H144" s="474"/>
      <c r="I144" s="474"/>
    </row>
    <row r="145" ht="15.75" customHeight="1" spans="1:9">
      <c r="A145" s="474"/>
      <c r="B145" s="474"/>
      <c r="C145" s="474"/>
      <c r="D145" s="474"/>
      <c r="E145" s="474"/>
      <c r="F145" s="474" t="s">
        <v>12</v>
      </c>
      <c r="G145" s="475" t="s">
        <v>255</v>
      </c>
      <c r="H145" s="474"/>
      <c r="I145" s="474"/>
    </row>
    <row r="146" ht="15.75" customHeight="1" spans="1:9">
      <c r="A146" s="474" t="s">
        <v>256</v>
      </c>
      <c r="B146" s="474" t="s">
        <v>257</v>
      </c>
      <c r="C146" s="474" t="s">
        <v>258</v>
      </c>
      <c r="D146" s="474"/>
      <c r="E146" s="474" t="s">
        <v>26</v>
      </c>
      <c r="F146" s="474" t="s">
        <v>26</v>
      </c>
      <c r="G146" s="475" t="s">
        <v>259</v>
      </c>
      <c r="H146" s="474"/>
      <c r="I146" s="474"/>
    </row>
    <row r="147" ht="15.75" customHeight="1" spans="1:9">
      <c r="A147" s="474"/>
      <c r="B147" s="474"/>
      <c r="C147" s="474"/>
      <c r="D147" s="474"/>
      <c r="E147" s="474"/>
      <c r="F147" s="474" t="s">
        <v>26</v>
      </c>
      <c r="G147" s="475" t="s">
        <v>260</v>
      </c>
      <c r="H147" s="474"/>
      <c r="I147" s="474"/>
    </row>
    <row r="148" ht="15.75" customHeight="1" spans="1:9">
      <c r="A148" s="474"/>
      <c r="B148" s="474"/>
      <c r="C148" s="474"/>
      <c r="D148" s="474"/>
      <c r="E148" s="474"/>
      <c r="F148" s="474" t="s">
        <v>253</v>
      </c>
      <c r="G148" s="477" t="s">
        <v>261</v>
      </c>
      <c r="H148" s="474"/>
      <c r="I148" s="476" t="s">
        <v>262</v>
      </c>
    </row>
    <row r="149" ht="15.75" customHeight="1" spans="1:9">
      <c r="A149" s="474" t="s">
        <v>263</v>
      </c>
      <c r="B149" s="474" t="s">
        <v>264</v>
      </c>
      <c r="C149" s="474" t="s">
        <v>258</v>
      </c>
      <c r="D149" s="474"/>
      <c r="E149" s="474" t="s">
        <v>50</v>
      </c>
      <c r="F149" s="474" t="s">
        <v>55</v>
      </c>
      <c r="G149" s="475" t="s">
        <v>265</v>
      </c>
      <c r="H149" s="474"/>
      <c r="I149" s="474"/>
    </row>
    <row r="150" ht="15.75" customHeight="1" spans="1:9">
      <c r="A150" s="474"/>
      <c r="B150" s="474"/>
      <c r="C150" s="474"/>
      <c r="D150" s="474"/>
      <c r="E150" s="474"/>
      <c r="F150" s="474" t="s">
        <v>50</v>
      </c>
      <c r="G150" s="477" t="s">
        <v>266</v>
      </c>
      <c r="H150" s="474"/>
      <c r="I150" s="474"/>
    </row>
    <row r="151" ht="15.75" customHeight="1" spans="1:9">
      <c r="A151" s="474"/>
      <c r="B151" s="474"/>
      <c r="C151" s="474"/>
      <c r="D151" s="474"/>
      <c r="E151" s="474"/>
      <c r="F151" s="474" t="s">
        <v>50</v>
      </c>
      <c r="G151" s="475" t="s">
        <v>267</v>
      </c>
      <c r="H151" s="474"/>
      <c r="I151" s="474"/>
    </row>
    <row r="152" ht="15.75" customHeight="1" spans="1:9">
      <c r="A152" s="474"/>
      <c r="B152" s="474"/>
      <c r="C152" s="474"/>
      <c r="D152" s="474"/>
      <c r="E152" s="474"/>
      <c r="F152" s="474" t="s">
        <v>50</v>
      </c>
      <c r="G152" s="475" t="s">
        <v>268</v>
      </c>
      <c r="H152" s="474"/>
      <c r="I152" s="474"/>
    </row>
    <row r="153" ht="15.75" customHeight="1" spans="1:9">
      <c r="A153" s="474"/>
      <c r="B153" s="474"/>
      <c r="C153" s="474"/>
      <c r="D153" s="474"/>
      <c r="E153" s="474"/>
      <c r="F153" s="474" t="s">
        <v>269</v>
      </c>
      <c r="G153" s="475" t="s">
        <v>270</v>
      </c>
      <c r="H153" s="474"/>
      <c r="I153" s="474"/>
    </row>
    <row r="154" ht="15.75" customHeight="1" spans="1:9">
      <c r="A154" s="474" t="s">
        <v>271</v>
      </c>
      <c r="B154" s="474" t="s">
        <v>272</v>
      </c>
      <c r="C154" s="474" t="s">
        <v>258</v>
      </c>
      <c r="D154" s="474"/>
      <c r="E154" s="474" t="s">
        <v>12</v>
      </c>
      <c r="F154" s="474" t="s">
        <v>12</v>
      </c>
      <c r="G154" s="475" t="s">
        <v>273</v>
      </c>
      <c r="H154" s="474"/>
      <c r="I154" s="474"/>
    </row>
    <row r="155" ht="15.75" customHeight="1" spans="1:9">
      <c r="A155" s="474"/>
      <c r="B155" s="474"/>
      <c r="C155" s="474"/>
      <c r="D155" s="474"/>
      <c r="E155" s="474"/>
      <c r="F155" s="474" t="s">
        <v>12</v>
      </c>
      <c r="G155" s="475" t="s">
        <v>274</v>
      </c>
      <c r="H155" s="474"/>
      <c r="I155" s="474"/>
    </row>
    <row r="156" ht="15.75" customHeight="1" spans="1:9">
      <c r="A156" s="474"/>
      <c r="B156" s="474"/>
      <c r="C156" s="474"/>
      <c r="D156" s="474"/>
      <c r="E156" s="474"/>
      <c r="F156" s="474" t="s">
        <v>12</v>
      </c>
      <c r="G156" s="475" t="s">
        <v>237</v>
      </c>
      <c r="H156" s="474"/>
      <c r="I156" s="474"/>
    </row>
    <row r="157" ht="15.75" customHeight="1" spans="1:9">
      <c r="A157" s="474"/>
      <c r="B157" s="474"/>
      <c r="C157" s="474"/>
      <c r="D157" s="474"/>
      <c r="E157" s="474"/>
      <c r="F157" s="474" t="s">
        <v>12</v>
      </c>
      <c r="G157" s="475" t="s">
        <v>275</v>
      </c>
      <c r="H157" s="474"/>
      <c r="I157" s="474"/>
    </row>
    <row r="158" ht="15.75" customHeight="1" spans="1:9">
      <c r="A158" s="474" t="s">
        <v>276</v>
      </c>
      <c r="B158" s="474" t="s">
        <v>272</v>
      </c>
      <c r="C158" s="474" t="s">
        <v>258</v>
      </c>
      <c r="D158" s="474"/>
      <c r="E158" s="474" t="s">
        <v>12</v>
      </c>
      <c r="F158" s="474" t="s">
        <v>12</v>
      </c>
      <c r="G158" s="475" t="s">
        <v>273</v>
      </c>
      <c r="H158" s="474"/>
      <c r="I158" s="474"/>
    </row>
    <row r="159" ht="15.75" customHeight="1" spans="1:9">
      <c r="A159" s="474"/>
      <c r="B159" s="474"/>
      <c r="C159" s="474"/>
      <c r="D159" s="474"/>
      <c r="E159" s="474"/>
      <c r="F159" s="474" t="s">
        <v>12</v>
      </c>
      <c r="G159" s="475" t="s">
        <v>274</v>
      </c>
      <c r="H159" s="474"/>
      <c r="I159" s="474"/>
    </row>
    <row r="160" ht="15.75" customHeight="1" spans="1:9">
      <c r="A160" s="474"/>
      <c r="B160" s="474"/>
      <c r="C160" s="474"/>
      <c r="D160" s="474"/>
      <c r="E160" s="474"/>
      <c r="F160" s="474" t="s">
        <v>12</v>
      </c>
      <c r="G160" s="475" t="s">
        <v>277</v>
      </c>
      <c r="H160" s="474"/>
      <c r="I160" s="474"/>
    </row>
    <row r="161" customHeight="1" spans="1:9">
      <c r="A161" s="474"/>
      <c r="B161" s="474"/>
      <c r="C161" s="474"/>
      <c r="D161" s="474"/>
      <c r="E161" s="474"/>
      <c r="F161" s="474"/>
      <c r="G161" s="475"/>
      <c r="H161" s="474"/>
      <c r="I161" s="474"/>
    </row>
    <row r="162" ht="15.75" customHeight="1" spans="1:9">
      <c r="A162" s="474" t="s">
        <v>278</v>
      </c>
      <c r="B162" s="474" t="s">
        <v>279</v>
      </c>
      <c r="C162" s="474" t="s">
        <v>280</v>
      </c>
      <c r="D162" s="474"/>
      <c r="E162" s="474" t="s">
        <v>36</v>
      </c>
      <c r="F162" s="474" t="s">
        <v>36</v>
      </c>
      <c r="G162" s="475" t="s">
        <v>281</v>
      </c>
      <c r="H162" s="474"/>
      <c r="I162" s="474"/>
    </row>
    <row r="163" ht="15.75" customHeight="1" spans="1:9">
      <c r="A163" s="474"/>
      <c r="B163" s="474"/>
      <c r="C163" s="474"/>
      <c r="D163" s="474"/>
      <c r="E163" s="474"/>
      <c r="F163" s="474" t="s">
        <v>36</v>
      </c>
      <c r="G163" s="475" t="s">
        <v>282</v>
      </c>
      <c r="H163" s="474"/>
      <c r="I163" s="474"/>
    </row>
    <row r="164" ht="15.75" customHeight="1" spans="1:9">
      <c r="A164" s="474"/>
      <c r="B164" s="474"/>
      <c r="C164" s="474"/>
      <c r="D164" s="474"/>
      <c r="E164" s="474"/>
      <c r="F164" s="474" t="s">
        <v>107</v>
      </c>
      <c r="G164" s="475" t="s">
        <v>283</v>
      </c>
      <c r="H164" s="474"/>
      <c r="I164" s="474"/>
    </row>
    <row r="165" ht="15.75" customHeight="1" spans="1:9">
      <c r="A165" s="474" t="s">
        <v>284</v>
      </c>
      <c r="B165" s="474" t="s">
        <v>285</v>
      </c>
      <c r="C165" s="474" t="s">
        <v>280</v>
      </c>
      <c r="D165" s="474"/>
      <c r="E165" s="474" t="s">
        <v>12</v>
      </c>
      <c r="F165" s="474" t="s">
        <v>172</v>
      </c>
      <c r="G165" s="475" t="s">
        <v>286</v>
      </c>
      <c r="H165" s="474"/>
      <c r="I165" s="474"/>
    </row>
    <row r="166" ht="15.75" customHeight="1" spans="1:9">
      <c r="A166" s="474"/>
      <c r="B166" s="474"/>
      <c r="C166" s="474"/>
      <c r="D166" s="474"/>
      <c r="E166" s="474"/>
      <c r="F166" s="474"/>
      <c r="G166" s="475" t="s">
        <v>287</v>
      </c>
      <c r="H166" s="474"/>
      <c r="I166" s="474"/>
    </row>
    <row r="167" ht="15.75" customHeight="1" spans="1:9">
      <c r="A167" s="474" t="s">
        <v>288</v>
      </c>
      <c r="B167" s="474" t="s">
        <v>289</v>
      </c>
      <c r="C167" s="474" t="s">
        <v>290</v>
      </c>
      <c r="D167" s="474"/>
      <c r="E167" s="474"/>
      <c r="F167" s="474" t="s">
        <v>40</v>
      </c>
      <c r="G167" s="475" t="s">
        <v>42</v>
      </c>
      <c r="H167" s="474"/>
      <c r="I167" s="474"/>
    </row>
    <row r="168" ht="15.75" customHeight="1" spans="1:9">
      <c r="A168" s="474" t="s">
        <v>291</v>
      </c>
      <c r="B168" s="474"/>
      <c r="C168" s="474" t="s">
        <v>292</v>
      </c>
      <c r="D168" s="479"/>
      <c r="E168" s="479"/>
      <c r="F168" s="474" t="s">
        <v>253</v>
      </c>
      <c r="G168" s="475" t="s">
        <v>293</v>
      </c>
      <c r="H168" s="479"/>
      <c r="I168" s="479"/>
    </row>
    <row r="169" ht="15.75" customHeight="1" spans="1:9">
      <c r="A169" s="474" t="s">
        <v>294</v>
      </c>
      <c r="B169" s="474" t="s">
        <v>295</v>
      </c>
      <c r="C169" s="474" t="s">
        <v>296</v>
      </c>
      <c r="D169" s="474"/>
      <c r="E169" s="474" t="s">
        <v>36</v>
      </c>
      <c r="F169" s="474" t="s">
        <v>36</v>
      </c>
      <c r="G169" s="475" t="s">
        <v>297</v>
      </c>
      <c r="H169" s="479"/>
      <c r="I169" s="479"/>
    </row>
    <row r="170" customHeight="1" spans="1:9">
      <c r="A170" s="479"/>
      <c r="B170" s="479"/>
      <c r="C170" s="479"/>
      <c r="D170" s="479"/>
      <c r="E170" s="479"/>
      <c r="F170" s="479"/>
      <c r="G170" s="480"/>
      <c r="H170" s="479"/>
      <c r="I170" s="479"/>
    </row>
    <row r="171" customHeight="1" spans="1:9">
      <c r="A171" s="479"/>
      <c r="B171" s="479"/>
      <c r="C171" s="479"/>
      <c r="D171" s="479"/>
      <c r="E171" s="479"/>
      <c r="F171" s="479"/>
      <c r="G171" s="480"/>
      <c r="H171" s="479"/>
      <c r="I171" s="479"/>
    </row>
    <row r="172" ht="15.75" customHeight="1" spans="1:9">
      <c r="A172" s="474" t="s">
        <v>298</v>
      </c>
      <c r="B172" s="474" t="s">
        <v>299</v>
      </c>
      <c r="C172" s="474" t="s">
        <v>300</v>
      </c>
      <c r="D172" s="474"/>
      <c r="E172" s="474" t="s">
        <v>55</v>
      </c>
      <c r="F172" s="474" t="s">
        <v>301</v>
      </c>
      <c r="G172" s="475" t="s">
        <v>302</v>
      </c>
      <c r="H172" s="479"/>
      <c r="I172" s="479"/>
    </row>
    <row r="173" ht="15.75" customHeight="1" spans="1:9">
      <c r="A173" s="479"/>
      <c r="B173" s="479"/>
      <c r="C173" s="479"/>
      <c r="D173" s="479"/>
      <c r="E173" s="479"/>
      <c r="F173" s="474" t="s">
        <v>55</v>
      </c>
      <c r="G173" s="475" t="s">
        <v>303</v>
      </c>
      <c r="H173" s="479"/>
      <c r="I173" s="479"/>
    </row>
    <row r="174" ht="15.75" customHeight="1" spans="1:9">
      <c r="A174" s="479"/>
      <c r="B174" s="479"/>
      <c r="C174" s="479"/>
      <c r="D174" s="479"/>
      <c r="E174" s="479"/>
      <c r="F174" s="474" t="s">
        <v>55</v>
      </c>
      <c r="G174" s="475" t="s">
        <v>304</v>
      </c>
      <c r="H174" s="479"/>
      <c r="I174" s="479"/>
    </row>
    <row r="175" ht="15.75" customHeight="1" spans="1:9">
      <c r="A175" s="474" t="s">
        <v>305</v>
      </c>
      <c r="B175" s="474" t="s">
        <v>306</v>
      </c>
      <c r="C175" s="474" t="s">
        <v>307</v>
      </c>
      <c r="D175" s="474"/>
      <c r="E175" s="474" t="s">
        <v>63</v>
      </c>
      <c r="F175" s="474" t="s">
        <v>308</v>
      </c>
      <c r="G175" s="475" t="s">
        <v>309</v>
      </c>
      <c r="H175" s="479"/>
      <c r="I175" s="479"/>
    </row>
    <row r="176" ht="15.75" customHeight="1" spans="1:9">
      <c r="A176" s="479"/>
      <c r="B176" s="479"/>
      <c r="C176" s="479"/>
      <c r="D176" s="479"/>
      <c r="E176" s="479"/>
      <c r="F176" s="474" t="s">
        <v>269</v>
      </c>
      <c r="G176" s="475" t="s">
        <v>310</v>
      </c>
      <c r="H176" s="479"/>
      <c r="I176" s="479"/>
    </row>
    <row r="177" ht="15.75" customHeight="1" spans="1:9">
      <c r="A177" s="479"/>
      <c r="B177" s="479"/>
      <c r="C177" s="479"/>
      <c r="D177" s="479"/>
      <c r="E177" s="479"/>
      <c r="F177" s="474" t="s">
        <v>63</v>
      </c>
      <c r="G177" s="475" t="s">
        <v>311</v>
      </c>
      <c r="H177" s="479"/>
      <c r="I177" s="479"/>
    </row>
    <row r="178" ht="15.75" customHeight="1" spans="1:9">
      <c r="A178" s="479"/>
      <c r="B178" s="479"/>
      <c r="C178" s="479"/>
      <c r="D178" s="479"/>
      <c r="E178" s="479"/>
      <c r="F178" s="474" t="s">
        <v>63</v>
      </c>
      <c r="G178" s="481" t="s">
        <v>312</v>
      </c>
      <c r="H178" s="479"/>
      <c r="I178" s="479"/>
    </row>
    <row r="179" ht="15.75" customHeight="1" spans="1:9">
      <c r="A179" s="474" t="s">
        <v>313</v>
      </c>
      <c r="B179" s="474" t="s">
        <v>314</v>
      </c>
      <c r="C179" s="474" t="s">
        <v>315</v>
      </c>
      <c r="D179" s="474"/>
      <c r="E179" s="474" t="s">
        <v>12</v>
      </c>
      <c r="F179" s="474" t="s">
        <v>12</v>
      </c>
      <c r="G179" s="475" t="s">
        <v>316</v>
      </c>
      <c r="H179" s="479"/>
      <c r="I179" s="479"/>
    </row>
    <row r="180" ht="15.75" customHeight="1" spans="1:9">
      <c r="A180" s="474"/>
      <c r="B180" s="474"/>
      <c r="C180" s="474"/>
      <c r="D180" s="474"/>
      <c r="E180" s="474"/>
      <c r="F180" s="474" t="s">
        <v>12</v>
      </c>
      <c r="G180" s="475" t="s">
        <v>317</v>
      </c>
      <c r="H180" s="479"/>
      <c r="I180" s="479"/>
    </row>
    <row r="181" ht="15.75" customHeight="1" spans="1:9">
      <c r="A181" s="474" t="s">
        <v>318</v>
      </c>
      <c r="B181" s="474" t="s">
        <v>244</v>
      </c>
      <c r="C181" s="474" t="s">
        <v>315</v>
      </c>
      <c r="D181" s="474"/>
      <c r="E181" s="474" t="s">
        <v>63</v>
      </c>
      <c r="F181" s="474" t="s">
        <v>63</v>
      </c>
      <c r="G181" s="475" t="s">
        <v>319</v>
      </c>
      <c r="H181" s="479"/>
      <c r="I181" s="479"/>
    </row>
    <row r="182" ht="15.75" customHeight="1" spans="1:9">
      <c r="A182" s="474"/>
      <c r="B182" s="474"/>
      <c r="C182" s="474"/>
      <c r="D182" s="474"/>
      <c r="E182" s="474"/>
      <c r="F182" s="474" t="s">
        <v>63</v>
      </c>
      <c r="G182" s="475" t="s">
        <v>320</v>
      </c>
      <c r="H182" s="479"/>
      <c r="I182" s="479"/>
    </row>
    <row r="183" ht="15.75" customHeight="1" spans="1:9">
      <c r="A183" s="474" t="s">
        <v>321</v>
      </c>
      <c r="B183" s="474" t="s">
        <v>322</v>
      </c>
      <c r="C183" s="474" t="s">
        <v>323</v>
      </c>
      <c r="D183" s="474"/>
      <c r="E183" s="474" t="s">
        <v>50</v>
      </c>
      <c r="F183" s="474" t="s">
        <v>50</v>
      </c>
      <c r="G183" s="475" t="s">
        <v>324</v>
      </c>
      <c r="H183" s="479"/>
      <c r="I183" s="479"/>
    </row>
    <row r="184" ht="15.75" customHeight="1" spans="1:9">
      <c r="A184" s="479"/>
      <c r="B184" s="479"/>
      <c r="C184" s="479"/>
      <c r="D184" s="479"/>
      <c r="E184" s="479"/>
      <c r="F184" s="474" t="s">
        <v>50</v>
      </c>
      <c r="G184" s="475" t="s">
        <v>325</v>
      </c>
      <c r="H184" s="479"/>
      <c r="I184" s="479"/>
    </row>
    <row r="185" ht="15.75" customHeight="1" spans="1:9">
      <c r="A185" s="479"/>
      <c r="B185" s="479"/>
      <c r="C185" s="479"/>
      <c r="D185" s="479"/>
      <c r="E185" s="479"/>
      <c r="F185" s="474" t="s">
        <v>50</v>
      </c>
      <c r="G185" s="475" t="s">
        <v>326</v>
      </c>
      <c r="H185" s="479"/>
      <c r="I185" s="479"/>
    </row>
    <row r="186" ht="15.75" customHeight="1" spans="1:9">
      <c r="A186" s="474" t="s">
        <v>327</v>
      </c>
      <c r="B186" s="474" t="s">
        <v>328</v>
      </c>
      <c r="C186" s="474" t="s">
        <v>329</v>
      </c>
      <c r="D186" s="474"/>
      <c r="E186" s="474" t="s">
        <v>25</v>
      </c>
      <c r="F186" s="474" t="s">
        <v>116</v>
      </c>
      <c r="G186" s="475" t="s">
        <v>330</v>
      </c>
      <c r="H186" s="479"/>
      <c r="I186" s="479"/>
    </row>
    <row r="187" ht="15.75" customHeight="1" spans="1:9">
      <c r="A187" s="474" t="s">
        <v>331</v>
      </c>
      <c r="B187" s="474" t="s">
        <v>332</v>
      </c>
      <c r="C187" s="474" t="s">
        <v>333</v>
      </c>
      <c r="D187" s="474"/>
      <c r="E187" s="474" t="s">
        <v>36</v>
      </c>
      <c r="F187" s="474" t="s">
        <v>36</v>
      </c>
      <c r="G187" s="475" t="s">
        <v>334</v>
      </c>
      <c r="H187" s="479"/>
      <c r="I187" s="479"/>
    </row>
    <row r="188" ht="15.75" customHeight="1" spans="1:9">
      <c r="A188" s="479"/>
      <c r="B188" s="479"/>
      <c r="C188" s="479"/>
      <c r="D188" s="479"/>
      <c r="E188" s="479"/>
      <c r="F188" s="474" t="s">
        <v>36</v>
      </c>
      <c r="G188" s="475" t="s">
        <v>335</v>
      </c>
      <c r="H188" s="479"/>
      <c r="I188" s="479"/>
    </row>
    <row r="189" ht="15.75" customHeight="1" spans="1:9">
      <c r="A189" s="474" t="s">
        <v>336</v>
      </c>
      <c r="B189" s="474" t="s">
        <v>337</v>
      </c>
      <c r="C189" s="474" t="s">
        <v>338</v>
      </c>
      <c r="D189" s="474"/>
      <c r="E189" s="474" t="s">
        <v>26</v>
      </c>
      <c r="F189" s="474" t="s">
        <v>26</v>
      </c>
      <c r="G189" s="475" t="s">
        <v>339</v>
      </c>
      <c r="H189" s="479"/>
      <c r="I189" s="479"/>
    </row>
    <row r="190" ht="15.75" customHeight="1" spans="1:9">
      <c r="A190" s="479"/>
      <c r="B190" s="479"/>
      <c r="C190" s="479"/>
      <c r="D190" s="479"/>
      <c r="E190" s="479"/>
      <c r="F190" s="474" t="s">
        <v>26</v>
      </c>
      <c r="G190" s="475" t="s">
        <v>340</v>
      </c>
      <c r="H190" s="479"/>
      <c r="I190" s="479"/>
    </row>
    <row r="191" ht="15.75" customHeight="1" spans="1:9">
      <c r="A191" s="474" t="s">
        <v>341</v>
      </c>
      <c r="B191" s="474" t="s">
        <v>342</v>
      </c>
      <c r="C191" s="474" t="s">
        <v>343</v>
      </c>
      <c r="D191" s="474"/>
      <c r="E191" s="474" t="s">
        <v>344</v>
      </c>
      <c r="F191" s="474" t="s">
        <v>344</v>
      </c>
      <c r="G191" s="475" t="s">
        <v>345</v>
      </c>
      <c r="H191" s="479"/>
      <c r="I191" s="479"/>
    </row>
    <row r="192" ht="15.75" customHeight="1" spans="1:9">
      <c r="A192" s="479"/>
      <c r="B192" s="479"/>
      <c r="C192" s="479"/>
      <c r="D192" s="479"/>
      <c r="E192" s="479"/>
      <c r="F192" s="474" t="s">
        <v>346</v>
      </c>
      <c r="G192" s="475" t="s">
        <v>347</v>
      </c>
      <c r="H192" s="479"/>
      <c r="I192" s="479"/>
    </row>
    <row r="193" ht="15.75" customHeight="1" spans="1:9">
      <c r="A193" s="474" t="s">
        <v>348</v>
      </c>
      <c r="B193" s="474" t="s">
        <v>349</v>
      </c>
      <c r="C193" s="474" t="s">
        <v>350</v>
      </c>
      <c r="D193" s="474"/>
      <c r="E193" s="474" t="s">
        <v>32</v>
      </c>
      <c r="F193" s="474" t="s">
        <v>137</v>
      </c>
      <c r="G193" s="475" t="s">
        <v>351</v>
      </c>
      <c r="H193" s="479"/>
      <c r="I193" s="479"/>
    </row>
    <row r="194" ht="15.75" customHeight="1" spans="1:9">
      <c r="A194" s="479"/>
      <c r="B194" s="479"/>
      <c r="C194" s="479"/>
      <c r="D194" s="479"/>
      <c r="E194" s="479"/>
      <c r="F194" s="474" t="s">
        <v>32</v>
      </c>
      <c r="G194" s="475" t="s">
        <v>352</v>
      </c>
      <c r="H194" s="479"/>
      <c r="I194" s="479"/>
    </row>
    <row r="195" ht="15.75" customHeight="1" spans="1:9">
      <c r="A195" s="474" t="s">
        <v>353</v>
      </c>
      <c r="B195" s="474" t="s">
        <v>354</v>
      </c>
      <c r="C195" s="474" t="s">
        <v>355</v>
      </c>
      <c r="D195" s="474"/>
      <c r="E195" s="474" t="s">
        <v>26</v>
      </c>
      <c r="F195" s="474" t="s">
        <v>18</v>
      </c>
      <c r="G195" s="475" t="s">
        <v>356</v>
      </c>
      <c r="H195" s="479"/>
      <c r="I195" s="479"/>
    </row>
    <row r="196" ht="15.75" customHeight="1" spans="1:9">
      <c r="A196" s="479"/>
      <c r="B196" s="474"/>
      <c r="C196" s="479"/>
      <c r="D196" s="479"/>
      <c r="E196" s="479"/>
      <c r="F196" s="474" t="s">
        <v>18</v>
      </c>
      <c r="G196" s="475" t="s">
        <v>357</v>
      </c>
      <c r="H196" s="479"/>
      <c r="I196" s="479"/>
    </row>
    <row r="197" ht="15.75" customHeight="1" spans="1:9">
      <c r="A197" s="479"/>
      <c r="B197" s="479"/>
      <c r="C197" s="479"/>
      <c r="D197" s="479"/>
      <c r="E197" s="479"/>
      <c r="F197" s="474" t="s">
        <v>26</v>
      </c>
      <c r="G197" s="475" t="s">
        <v>358</v>
      </c>
      <c r="H197" s="479"/>
      <c r="I197" s="479"/>
    </row>
    <row r="198" ht="15.75" customHeight="1" spans="1:9">
      <c r="A198" s="479"/>
      <c r="B198" s="479"/>
      <c r="C198" s="479"/>
      <c r="D198" s="479"/>
      <c r="E198" s="479"/>
      <c r="F198" s="474" t="s">
        <v>26</v>
      </c>
      <c r="G198" s="475" t="s">
        <v>359</v>
      </c>
      <c r="H198" s="479"/>
      <c r="I198" s="479"/>
    </row>
    <row r="199" ht="15.75" customHeight="1" spans="1:9">
      <c r="A199" s="479"/>
      <c r="B199" s="479"/>
      <c r="C199" s="479"/>
      <c r="D199" s="479"/>
      <c r="E199" s="479"/>
      <c r="F199" s="474" t="s">
        <v>55</v>
      </c>
      <c r="G199" s="475" t="s">
        <v>360</v>
      </c>
      <c r="H199" s="479"/>
      <c r="I199" s="479"/>
    </row>
    <row r="200" ht="15.75" customHeight="1" spans="1:9">
      <c r="A200" s="479"/>
      <c r="B200" s="479"/>
      <c r="C200" s="479"/>
      <c r="D200" s="479"/>
      <c r="E200" s="479"/>
      <c r="F200" s="474" t="s">
        <v>18</v>
      </c>
      <c r="G200" s="475" t="s">
        <v>361</v>
      </c>
      <c r="H200" s="479"/>
      <c r="I200" s="479"/>
    </row>
    <row r="201" ht="15.75" customHeight="1" spans="1:9">
      <c r="A201" s="474" t="s">
        <v>362</v>
      </c>
      <c r="B201" s="474" t="s">
        <v>363</v>
      </c>
      <c r="C201" s="474" t="s">
        <v>364</v>
      </c>
      <c r="D201" s="474"/>
      <c r="E201" s="474" t="s">
        <v>55</v>
      </c>
      <c r="F201" s="474" t="s">
        <v>55</v>
      </c>
      <c r="G201" s="475" t="s">
        <v>365</v>
      </c>
      <c r="H201" s="479"/>
      <c r="I201" s="479"/>
    </row>
    <row r="202" ht="15.75" customHeight="1" spans="1:9">
      <c r="A202" s="479"/>
      <c r="B202" s="479"/>
      <c r="C202" s="479"/>
      <c r="D202" s="479"/>
      <c r="E202" s="479"/>
      <c r="F202" s="479"/>
      <c r="G202" s="475" t="s">
        <v>366</v>
      </c>
      <c r="H202" s="479"/>
      <c r="I202" s="479"/>
    </row>
    <row r="203" ht="15.75" customHeight="1" spans="1:9">
      <c r="A203" s="474" t="s">
        <v>367</v>
      </c>
      <c r="B203" s="474" t="s">
        <v>368</v>
      </c>
      <c r="C203" s="474" t="s">
        <v>364</v>
      </c>
      <c r="D203" s="474"/>
      <c r="E203" s="474" t="s">
        <v>12</v>
      </c>
      <c r="F203" s="474" t="s">
        <v>12</v>
      </c>
      <c r="G203" s="475" t="s">
        <v>369</v>
      </c>
      <c r="H203" s="479"/>
      <c r="I203" s="479"/>
    </row>
    <row r="204" ht="24.75" customHeight="1" spans="1:9">
      <c r="A204" s="479" t="s">
        <v>370</v>
      </c>
      <c r="B204" s="479" t="s">
        <v>371</v>
      </c>
      <c r="C204" s="479" t="s">
        <v>372</v>
      </c>
      <c r="D204" s="479"/>
      <c r="E204" s="479" t="s">
        <v>50</v>
      </c>
      <c r="F204" s="479" t="s">
        <v>50</v>
      </c>
      <c r="G204" s="480" t="s">
        <v>373</v>
      </c>
      <c r="H204" s="479"/>
      <c r="I204" s="479"/>
    </row>
    <row r="205" customHeight="1" spans="1:9">
      <c r="A205" s="479"/>
      <c r="B205" s="479"/>
      <c r="C205" s="479"/>
      <c r="D205" s="479"/>
      <c r="E205" s="479"/>
      <c r="F205" s="479" t="s">
        <v>50</v>
      </c>
      <c r="G205" s="480" t="s">
        <v>374</v>
      </c>
      <c r="H205" s="479"/>
      <c r="I205" s="479"/>
    </row>
    <row r="206" customHeight="1" spans="1:9">
      <c r="A206" s="479"/>
      <c r="B206" s="479"/>
      <c r="C206" s="479"/>
      <c r="D206" s="479"/>
      <c r="E206" s="479"/>
      <c r="F206" s="479" t="s">
        <v>36</v>
      </c>
      <c r="G206" s="480" t="s">
        <v>375</v>
      </c>
      <c r="H206" s="479"/>
      <c r="I206" s="479"/>
    </row>
    <row r="207" customHeight="1" spans="1:9">
      <c r="A207" s="479"/>
      <c r="B207" s="479"/>
      <c r="C207" s="479"/>
      <c r="D207" s="479"/>
      <c r="E207" s="479"/>
      <c r="F207" s="479" t="s">
        <v>55</v>
      </c>
      <c r="G207" s="480" t="s">
        <v>376</v>
      </c>
      <c r="H207" s="479"/>
      <c r="I207" s="479"/>
    </row>
    <row r="208" customHeight="1" spans="1:9">
      <c r="A208" s="479" t="s">
        <v>377</v>
      </c>
      <c r="B208" s="479" t="s">
        <v>378</v>
      </c>
      <c r="C208" s="479" t="s">
        <v>372</v>
      </c>
      <c r="D208" s="479"/>
      <c r="E208" s="479" t="s">
        <v>12</v>
      </c>
      <c r="F208" s="479" t="s">
        <v>25</v>
      </c>
      <c r="G208" s="480" t="s">
        <v>379</v>
      </c>
      <c r="H208" s="479"/>
      <c r="I208" s="479"/>
    </row>
    <row r="209" customHeight="1" spans="1:9">
      <c r="A209" s="479"/>
      <c r="B209" s="479"/>
      <c r="C209" s="479"/>
      <c r="D209" s="479"/>
      <c r="E209" s="479"/>
      <c r="F209" s="479" t="s">
        <v>55</v>
      </c>
      <c r="G209" s="480" t="s">
        <v>376</v>
      </c>
      <c r="H209" s="479"/>
      <c r="I209" s="479"/>
    </row>
    <row r="210" customHeight="1" spans="1:9">
      <c r="A210" s="479" t="s">
        <v>380</v>
      </c>
      <c r="B210" s="479" t="s">
        <v>381</v>
      </c>
      <c r="C210" s="479" t="s">
        <v>382</v>
      </c>
      <c r="D210" s="479"/>
      <c r="E210" s="479" t="s">
        <v>12</v>
      </c>
      <c r="F210" s="479" t="s">
        <v>63</v>
      </c>
      <c r="G210" s="480" t="s">
        <v>383</v>
      </c>
      <c r="H210" s="479"/>
      <c r="I210" s="479"/>
    </row>
    <row r="211" customHeight="1" spans="1:9">
      <c r="A211" s="479"/>
      <c r="B211" s="479"/>
      <c r="C211" s="479"/>
      <c r="D211" s="479"/>
      <c r="E211" s="479"/>
      <c r="F211" s="479" t="s">
        <v>32</v>
      </c>
      <c r="G211" s="482" t="s">
        <v>384</v>
      </c>
      <c r="H211" s="479" t="s">
        <v>385</v>
      </c>
      <c r="I211" s="479"/>
    </row>
    <row r="212" customHeight="1" spans="1:9">
      <c r="A212" s="479"/>
      <c r="B212" s="479"/>
      <c r="C212" s="479"/>
      <c r="D212" s="479"/>
      <c r="E212" s="479"/>
      <c r="F212" s="479" t="s">
        <v>32</v>
      </c>
      <c r="G212" s="480" t="s">
        <v>386</v>
      </c>
      <c r="H212" s="479"/>
      <c r="I212" s="479"/>
    </row>
    <row r="213" customHeight="1" spans="1:9">
      <c r="A213" s="479"/>
      <c r="B213" s="479"/>
      <c r="C213" s="479"/>
      <c r="D213" s="479"/>
      <c r="E213" s="479"/>
      <c r="F213" s="479" t="s">
        <v>55</v>
      </c>
      <c r="G213" s="480" t="s">
        <v>387</v>
      </c>
      <c r="H213" s="479"/>
      <c r="I213" s="479"/>
    </row>
    <row r="214" customHeight="1" spans="1:9">
      <c r="A214" s="483"/>
      <c r="B214" s="483"/>
      <c r="C214" s="483"/>
      <c r="D214" s="483"/>
      <c r="E214" s="483"/>
      <c r="F214" s="483" t="s">
        <v>36</v>
      </c>
      <c r="G214" s="484" t="s">
        <v>375</v>
      </c>
      <c r="H214" s="483"/>
      <c r="I214" s="479"/>
    </row>
    <row r="215" customHeight="1" spans="1:9">
      <c r="A215" s="483"/>
      <c r="B215" s="483"/>
      <c r="C215" s="483"/>
      <c r="D215" s="483"/>
      <c r="E215" s="483"/>
      <c r="F215" s="483" t="s">
        <v>55</v>
      </c>
      <c r="G215" s="484" t="s">
        <v>388</v>
      </c>
      <c r="H215" s="483"/>
      <c r="I215" s="479"/>
    </row>
    <row r="216" customHeight="1" spans="1:9">
      <c r="A216" s="483" t="s">
        <v>389</v>
      </c>
      <c r="B216" s="483" t="s">
        <v>390</v>
      </c>
      <c r="C216" s="483" t="s">
        <v>382</v>
      </c>
      <c r="D216" s="483"/>
      <c r="E216" s="483" t="s">
        <v>18</v>
      </c>
      <c r="F216" s="483" t="s">
        <v>18</v>
      </c>
      <c r="G216" s="484" t="s">
        <v>391</v>
      </c>
      <c r="H216" s="483"/>
      <c r="I216" s="479"/>
    </row>
    <row r="217" customHeight="1" spans="1:9">
      <c r="A217" s="483"/>
      <c r="B217" s="483"/>
      <c r="C217" s="483"/>
      <c r="D217" s="483"/>
      <c r="E217" s="483"/>
      <c r="F217" s="483" t="s">
        <v>18</v>
      </c>
      <c r="G217" s="484" t="s">
        <v>392</v>
      </c>
      <c r="H217" s="483"/>
      <c r="I217" s="479"/>
    </row>
    <row r="218" customHeight="1" spans="1:9">
      <c r="A218" s="483" t="s">
        <v>393</v>
      </c>
      <c r="B218" s="483" t="s">
        <v>394</v>
      </c>
      <c r="C218" s="483" t="s">
        <v>382</v>
      </c>
      <c r="D218" s="483"/>
      <c r="E218" s="483" t="s">
        <v>32</v>
      </c>
      <c r="F218" s="483" t="s">
        <v>55</v>
      </c>
      <c r="G218" s="484" t="s">
        <v>395</v>
      </c>
      <c r="H218" s="483"/>
      <c r="I218" s="479"/>
    </row>
    <row r="219" customHeight="1" spans="1:9">
      <c r="A219" s="483" t="s">
        <v>396</v>
      </c>
      <c r="B219" s="483" t="s">
        <v>397</v>
      </c>
      <c r="C219" s="483" t="s">
        <v>398</v>
      </c>
      <c r="D219" s="483"/>
      <c r="E219" s="483" t="s">
        <v>18</v>
      </c>
      <c r="F219" s="483" t="s">
        <v>18</v>
      </c>
      <c r="G219" s="484" t="s">
        <v>399</v>
      </c>
      <c r="H219" s="483"/>
      <c r="I219" s="479"/>
    </row>
    <row r="220" customHeight="1" spans="1:9">
      <c r="A220" s="483"/>
      <c r="B220" s="483"/>
      <c r="C220" s="483"/>
      <c r="D220" s="483"/>
      <c r="E220" s="483"/>
      <c r="F220" s="483" t="s">
        <v>26</v>
      </c>
      <c r="G220" s="484" t="s">
        <v>400</v>
      </c>
      <c r="H220" s="483"/>
      <c r="I220" s="479"/>
    </row>
    <row r="221" customHeight="1" spans="1:9">
      <c r="A221" s="483"/>
      <c r="B221" s="483"/>
      <c r="C221" s="483"/>
      <c r="D221" s="483"/>
      <c r="E221" s="483"/>
      <c r="F221" s="483" t="s">
        <v>55</v>
      </c>
      <c r="G221" s="484" t="s">
        <v>376</v>
      </c>
      <c r="H221" s="483"/>
      <c r="I221" s="483"/>
    </row>
    <row r="222" customHeight="1" spans="1:9">
      <c r="A222" s="483" t="s">
        <v>401</v>
      </c>
      <c r="B222" s="483" t="s">
        <v>402</v>
      </c>
      <c r="C222" s="483" t="s">
        <v>398</v>
      </c>
      <c r="D222" s="483"/>
      <c r="E222" s="483" t="s">
        <v>18</v>
      </c>
      <c r="F222" s="483" t="s">
        <v>18</v>
      </c>
      <c r="G222" s="484" t="s">
        <v>403</v>
      </c>
      <c r="H222" s="483"/>
      <c r="I222" s="483"/>
    </row>
    <row r="223" customHeight="1" spans="1:9">
      <c r="A223" s="483"/>
      <c r="B223" s="483"/>
      <c r="C223" s="483"/>
      <c r="D223" s="483"/>
      <c r="E223" s="483"/>
      <c r="F223" s="483" t="s">
        <v>18</v>
      </c>
      <c r="G223" s="484" t="s">
        <v>404</v>
      </c>
      <c r="H223" s="483"/>
      <c r="I223" s="483"/>
    </row>
    <row r="224" customHeight="1" spans="1:9">
      <c r="A224" s="483"/>
      <c r="B224" s="483"/>
      <c r="C224" s="483"/>
      <c r="D224" s="483"/>
      <c r="E224" s="483"/>
      <c r="F224" s="483" t="s">
        <v>18</v>
      </c>
      <c r="G224" s="484" t="s">
        <v>405</v>
      </c>
      <c r="H224" s="483"/>
      <c r="I224" s="483"/>
    </row>
    <row r="225" customHeight="1" spans="1:9">
      <c r="A225" s="483"/>
      <c r="B225" s="483"/>
      <c r="C225" s="483"/>
      <c r="D225" s="483"/>
      <c r="E225" s="483"/>
      <c r="F225" s="483" t="s">
        <v>55</v>
      </c>
      <c r="G225" s="484" t="s">
        <v>376</v>
      </c>
      <c r="H225" s="483"/>
      <c r="I225" s="483"/>
    </row>
    <row r="226" customHeight="1" spans="1:9">
      <c r="A226" s="483" t="s">
        <v>406</v>
      </c>
      <c r="B226" s="483" t="s">
        <v>407</v>
      </c>
      <c r="C226" s="483" t="s">
        <v>408</v>
      </c>
      <c r="D226" s="483"/>
      <c r="E226" s="483" t="s">
        <v>36</v>
      </c>
      <c r="F226" s="483" t="s">
        <v>40</v>
      </c>
      <c r="G226" s="484" t="s">
        <v>409</v>
      </c>
      <c r="H226" s="483"/>
      <c r="I226" s="483"/>
    </row>
    <row r="227" ht="36" customHeight="1" spans="1:9">
      <c r="A227" s="483" t="s">
        <v>410</v>
      </c>
      <c r="B227" s="479" t="s">
        <v>411</v>
      </c>
      <c r="C227" s="483" t="s">
        <v>412</v>
      </c>
      <c r="D227" s="483"/>
      <c r="E227" s="483" t="s">
        <v>63</v>
      </c>
      <c r="F227" s="483" t="s">
        <v>137</v>
      </c>
      <c r="G227" s="484" t="s">
        <v>413</v>
      </c>
      <c r="H227" s="483"/>
      <c r="I227" s="483"/>
    </row>
    <row r="228" customHeight="1" spans="1:9">
      <c r="A228" s="483"/>
      <c r="B228" s="483"/>
      <c r="C228" s="483"/>
      <c r="D228" s="483"/>
      <c r="E228" s="483"/>
      <c r="F228" s="483" t="s">
        <v>63</v>
      </c>
      <c r="G228" s="484" t="s">
        <v>414</v>
      </c>
      <c r="H228" s="483"/>
      <c r="I228" s="483"/>
    </row>
    <row r="229" customHeight="1" spans="1:9">
      <c r="A229" s="483"/>
      <c r="B229" s="483"/>
      <c r="C229" s="483"/>
      <c r="D229" s="483"/>
      <c r="E229" s="483"/>
      <c r="F229" s="483" t="s">
        <v>63</v>
      </c>
      <c r="G229" s="484" t="s">
        <v>415</v>
      </c>
      <c r="H229" s="483"/>
      <c r="I229" s="483"/>
    </row>
    <row r="230" customHeight="1" spans="1:9">
      <c r="A230" s="483" t="s">
        <v>416</v>
      </c>
      <c r="B230" s="483" t="s">
        <v>417</v>
      </c>
      <c r="C230" s="483" t="s">
        <v>418</v>
      </c>
      <c r="D230" s="483"/>
      <c r="E230" s="483" t="s">
        <v>12</v>
      </c>
      <c r="F230" s="483" t="s">
        <v>12</v>
      </c>
      <c r="G230" s="485" t="s">
        <v>419</v>
      </c>
      <c r="H230" s="483"/>
      <c r="I230" s="483"/>
    </row>
    <row r="231" customHeight="1" spans="1:9">
      <c r="A231" s="483"/>
      <c r="B231" s="483"/>
      <c r="C231" s="483"/>
      <c r="D231" s="483"/>
      <c r="E231" s="483"/>
      <c r="F231" s="483" t="s">
        <v>12</v>
      </c>
      <c r="G231" s="484" t="s">
        <v>420</v>
      </c>
      <c r="H231" s="483"/>
      <c r="I231" s="483"/>
    </row>
    <row r="232" customHeight="1" spans="1:9">
      <c r="A232" s="483"/>
      <c r="B232" s="483"/>
      <c r="C232" s="483"/>
      <c r="D232" s="483"/>
      <c r="E232" s="483"/>
      <c r="F232" s="483" t="s">
        <v>137</v>
      </c>
      <c r="G232" s="485" t="s">
        <v>421</v>
      </c>
      <c r="H232" s="483"/>
      <c r="I232" s="483"/>
    </row>
    <row r="233" customHeight="1" spans="1:9">
      <c r="A233" s="483"/>
      <c r="B233" s="483"/>
      <c r="C233" s="483"/>
      <c r="D233" s="483"/>
      <c r="E233" s="483"/>
      <c r="F233" s="483" t="s">
        <v>137</v>
      </c>
      <c r="G233" s="484" t="s">
        <v>413</v>
      </c>
      <c r="H233" s="483"/>
      <c r="I233" s="483"/>
    </row>
    <row r="234" customHeight="1" spans="1:9">
      <c r="A234" s="483"/>
      <c r="B234" s="483"/>
      <c r="C234" s="483"/>
      <c r="D234" s="483"/>
      <c r="E234" s="483"/>
      <c r="F234" s="483" t="s">
        <v>137</v>
      </c>
      <c r="G234" s="485" t="s">
        <v>422</v>
      </c>
      <c r="H234" s="483"/>
      <c r="I234" s="483"/>
    </row>
    <row r="235" customHeight="1" spans="1:9">
      <c r="A235" s="483" t="s">
        <v>423</v>
      </c>
      <c r="B235" s="483" t="s">
        <v>424</v>
      </c>
      <c r="C235" s="483" t="s">
        <v>425</v>
      </c>
      <c r="D235" s="483"/>
      <c r="E235" s="483" t="s">
        <v>36</v>
      </c>
      <c r="F235" s="483" t="s">
        <v>36</v>
      </c>
      <c r="G235" s="484" t="s">
        <v>426</v>
      </c>
      <c r="H235" s="483"/>
      <c r="I235" s="483"/>
    </row>
    <row r="236" customHeight="1" spans="1:9">
      <c r="A236" s="483"/>
      <c r="B236" s="483"/>
      <c r="C236" s="483"/>
      <c r="D236" s="483"/>
      <c r="E236" s="483"/>
      <c r="F236" s="483" t="s">
        <v>36</v>
      </c>
      <c r="G236" s="480" t="s">
        <v>427</v>
      </c>
      <c r="H236" s="483"/>
      <c r="I236" s="483"/>
    </row>
    <row r="237" customHeight="1" spans="1:9">
      <c r="A237" s="483" t="s">
        <v>428</v>
      </c>
      <c r="B237" s="483" t="s">
        <v>429</v>
      </c>
      <c r="C237" s="483" t="s">
        <v>425</v>
      </c>
      <c r="D237" s="483"/>
      <c r="E237" s="483" t="s">
        <v>55</v>
      </c>
      <c r="F237" s="483" t="s">
        <v>55</v>
      </c>
      <c r="G237" s="485" t="s">
        <v>430</v>
      </c>
      <c r="H237" s="483"/>
      <c r="I237" s="483"/>
    </row>
    <row r="238" customHeight="1" spans="1:9">
      <c r="A238" s="483"/>
      <c r="B238" s="483"/>
      <c r="C238" s="483"/>
      <c r="D238" s="483"/>
      <c r="E238" s="483"/>
      <c r="F238" s="483" t="s">
        <v>55</v>
      </c>
      <c r="G238" s="485" t="s">
        <v>431</v>
      </c>
      <c r="H238" s="483"/>
      <c r="I238" s="483"/>
    </row>
    <row r="239" customHeight="1" spans="1:9">
      <c r="A239" s="483"/>
      <c r="B239" s="483"/>
      <c r="C239" s="483"/>
      <c r="D239" s="483"/>
      <c r="E239" s="483"/>
      <c r="F239" s="483" t="s">
        <v>55</v>
      </c>
      <c r="G239" s="484" t="s">
        <v>432</v>
      </c>
      <c r="H239" s="483"/>
      <c r="I239" s="483"/>
    </row>
    <row r="240" ht="47.25" customHeight="1" spans="1:9">
      <c r="A240" s="483" t="s">
        <v>433</v>
      </c>
      <c r="B240" s="479" t="s">
        <v>434</v>
      </c>
      <c r="C240" s="483" t="s">
        <v>435</v>
      </c>
      <c r="D240" s="483"/>
      <c r="E240" s="483" t="s">
        <v>50</v>
      </c>
      <c r="F240" s="483" t="s">
        <v>50</v>
      </c>
      <c r="G240" s="484" t="s">
        <v>436</v>
      </c>
      <c r="H240" s="483"/>
      <c r="I240" s="483"/>
    </row>
    <row r="241" customHeight="1" spans="1:9">
      <c r="A241" s="483"/>
      <c r="B241" s="483"/>
      <c r="C241" s="483"/>
      <c r="D241" s="483"/>
      <c r="E241" s="483"/>
      <c r="F241" s="483" t="s">
        <v>50</v>
      </c>
      <c r="G241" s="485" t="s">
        <v>437</v>
      </c>
      <c r="H241" s="483"/>
      <c r="I241" s="483"/>
    </row>
    <row r="242" customHeight="1" spans="1:9">
      <c r="A242" s="483"/>
      <c r="B242" s="483"/>
      <c r="C242" s="483"/>
      <c r="D242" s="483"/>
      <c r="E242" s="483"/>
      <c r="F242" s="483" t="s">
        <v>50</v>
      </c>
      <c r="G242" s="485" t="s">
        <v>438</v>
      </c>
      <c r="H242" s="483"/>
      <c r="I242" s="483"/>
    </row>
    <row r="243" customHeight="1" spans="1:9">
      <c r="A243" s="483"/>
      <c r="B243" s="483"/>
      <c r="C243" s="483"/>
      <c r="D243" s="483"/>
      <c r="E243" s="483"/>
      <c r="F243" s="483" t="s">
        <v>50</v>
      </c>
      <c r="G243" s="485" t="s">
        <v>439</v>
      </c>
      <c r="H243" s="483"/>
      <c r="I243" s="483"/>
    </row>
    <row r="244" customHeight="1" spans="1:9">
      <c r="A244" s="483"/>
      <c r="B244" s="483"/>
      <c r="C244" s="483"/>
      <c r="D244" s="483"/>
      <c r="E244" s="483"/>
      <c r="F244" s="483" t="s">
        <v>50</v>
      </c>
      <c r="G244" s="485" t="s">
        <v>440</v>
      </c>
      <c r="H244" s="483"/>
      <c r="I244" s="483"/>
    </row>
    <row r="245" customHeight="1" spans="1:9">
      <c r="A245" s="483"/>
      <c r="B245" s="483"/>
      <c r="C245" s="483"/>
      <c r="D245" s="483"/>
      <c r="E245" s="483"/>
      <c r="F245" s="483" t="s">
        <v>50</v>
      </c>
      <c r="G245" s="485" t="s">
        <v>441</v>
      </c>
      <c r="H245" s="483"/>
      <c r="I245" s="483"/>
    </row>
    <row r="246" customHeight="1" spans="1:9">
      <c r="A246" s="483"/>
      <c r="B246" s="483"/>
      <c r="C246" s="483"/>
      <c r="D246" s="483"/>
      <c r="E246" s="483"/>
      <c r="F246" s="483" t="s">
        <v>50</v>
      </c>
      <c r="G246" s="485" t="s">
        <v>442</v>
      </c>
      <c r="H246" s="483"/>
      <c r="I246" s="483"/>
    </row>
    <row r="247" customHeight="1" spans="1:9">
      <c r="A247" s="483"/>
      <c r="B247" s="483"/>
      <c r="C247" s="483"/>
      <c r="D247" s="483"/>
      <c r="E247" s="483"/>
      <c r="F247" s="483" t="s">
        <v>50</v>
      </c>
      <c r="G247" s="485" t="s">
        <v>443</v>
      </c>
      <c r="H247" s="483"/>
      <c r="I247" s="483"/>
    </row>
    <row r="248" customHeight="1" spans="1:9">
      <c r="A248" s="483"/>
      <c r="B248" s="483"/>
      <c r="C248" s="483"/>
      <c r="D248" s="483"/>
      <c r="E248" s="483"/>
      <c r="F248" s="483" t="s">
        <v>444</v>
      </c>
      <c r="G248" s="485" t="s">
        <v>445</v>
      </c>
      <c r="H248" s="483"/>
      <c r="I248" s="483"/>
    </row>
    <row r="249" customHeight="1" spans="1:9">
      <c r="A249" s="483" t="s">
        <v>446</v>
      </c>
      <c r="B249" s="483" t="s">
        <v>447</v>
      </c>
      <c r="C249" s="483" t="s">
        <v>435</v>
      </c>
      <c r="D249" s="483"/>
      <c r="E249" s="483" t="s">
        <v>50</v>
      </c>
      <c r="F249" s="483" t="s">
        <v>50</v>
      </c>
      <c r="G249" s="485" t="s">
        <v>448</v>
      </c>
      <c r="H249" s="483"/>
      <c r="I249" s="483"/>
    </row>
    <row r="250" customHeight="1" spans="1:9">
      <c r="A250" s="483"/>
      <c r="B250" s="483"/>
      <c r="C250" s="483"/>
      <c r="D250" s="483"/>
      <c r="E250" s="483"/>
      <c r="F250" s="483" t="s">
        <v>50</v>
      </c>
      <c r="G250" s="485" t="s">
        <v>449</v>
      </c>
      <c r="H250" s="483"/>
      <c r="I250" s="483"/>
    </row>
    <row r="251" customHeight="1" spans="1:9">
      <c r="A251" s="483"/>
      <c r="B251" s="483"/>
      <c r="C251" s="483"/>
      <c r="D251" s="483"/>
      <c r="E251" s="483"/>
      <c r="F251" s="483" t="s">
        <v>50</v>
      </c>
      <c r="G251" s="485" t="s">
        <v>450</v>
      </c>
      <c r="H251" s="483"/>
      <c r="I251" s="483"/>
    </row>
    <row r="252" customHeight="1" spans="1:9">
      <c r="A252" s="483" t="s">
        <v>451</v>
      </c>
      <c r="B252" s="486" t="s">
        <v>452</v>
      </c>
      <c r="C252" s="483" t="s">
        <v>435</v>
      </c>
      <c r="D252" s="483"/>
      <c r="E252" s="483" t="s">
        <v>50</v>
      </c>
      <c r="F252" s="483" t="s">
        <v>50</v>
      </c>
      <c r="G252" s="485" t="s">
        <v>453</v>
      </c>
      <c r="H252" s="483"/>
      <c r="I252" s="483"/>
    </row>
    <row r="253" customHeight="1" spans="1:9">
      <c r="A253" s="483"/>
      <c r="B253" s="483"/>
      <c r="C253" s="483"/>
      <c r="D253" s="483"/>
      <c r="E253" s="483"/>
      <c r="F253" s="483" t="s">
        <v>50</v>
      </c>
      <c r="G253" s="485" t="s">
        <v>440</v>
      </c>
      <c r="H253" s="483"/>
      <c r="I253" s="483"/>
    </row>
    <row r="254" customHeight="1" spans="1:9">
      <c r="A254" s="483"/>
      <c r="B254" s="483"/>
      <c r="C254" s="483"/>
      <c r="D254" s="483"/>
      <c r="E254" s="483"/>
      <c r="F254" s="483" t="s">
        <v>444</v>
      </c>
      <c r="G254" s="485" t="s">
        <v>454</v>
      </c>
      <c r="H254" s="483"/>
      <c r="I254" s="483"/>
    </row>
    <row r="255" customHeight="1" spans="1:9">
      <c r="A255" s="483" t="s">
        <v>455</v>
      </c>
      <c r="B255" s="483" t="s">
        <v>456</v>
      </c>
      <c r="C255" s="483" t="s">
        <v>457</v>
      </c>
      <c r="D255" s="483"/>
      <c r="E255" s="483" t="s">
        <v>26</v>
      </c>
      <c r="F255" s="483" t="s">
        <v>26</v>
      </c>
      <c r="G255" s="484" t="s">
        <v>361</v>
      </c>
      <c r="H255" s="483"/>
      <c r="I255" s="483"/>
    </row>
    <row r="256" customHeight="1" spans="1:9">
      <c r="A256" s="483"/>
      <c r="B256" s="483"/>
      <c r="C256" s="483"/>
      <c r="D256" s="483"/>
      <c r="E256" s="483"/>
      <c r="F256" s="483" t="s">
        <v>26</v>
      </c>
      <c r="G256" s="484" t="s">
        <v>458</v>
      </c>
      <c r="H256" s="483"/>
      <c r="I256" s="483"/>
    </row>
    <row r="257" customHeight="1" spans="1:9">
      <c r="A257" s="483" t="s">
        <v>459</v>
      </c>
      <c r="B257" s="483" t="s">
        <v>460</v>
      </c>
      <c r="C257" s="483" t="s">
        <v>461</v>
      </c>
      <c r="D257" s="483"/>
      <c r="E257" s="483" t="s">
        <v>36</v>
      </c>
      <c r="F257" s="483" t="s">
        <v>36</v>
      </c>
      <c r="G257" s="487" t="s">
        <v>462</v>
      </c>
      <c r="H257" s="483"/>
      <c r="I257" s="483"/>
    </row>
    <row r="258" customHeight="1" spans="1:9">
      <c r="A258" s="483"/>
      <c r="B258" s="483"/>
      <c r="C258" s="483"/>
      <c r="D258" s="483"/>
      <c r="E258" s="483"/>
      <c r="F258" s="483" t="s">
        <v>40</v>
      </c>
      <c r="G258" s="484" t="s">
        <v>463</v>
      </c>
      <c r="H258" s="483"/>
      <c r="I258" s="483"/>
    </row>
    <row r="259" customHeight="1" spans="1:9">
      <c r="A259" s="483"/>
      <c r="B259" s="483"/>
      <c r="C259" s="483"/>
      <c r="D259" s="483"/>
      <c r="E259" s="483"/>
      <c r="F259" s="483" t="s">
        <v>55</v>
      </c>
      <c r="G259" s="484" t="s">
        <v>464</v>
      </c>
      <c r="H259" s="483"/>
      <c r="I259" s="483"/>
    </row>
    <row r="260" customHeight="1" spans="1:9">
      <c r="A260" s="483"/>
      <c r="B260" s="483"/>
      <c r="C260" s="483"/>
      <c r="D260" s="483"/>
      <c r="E260" s="483"/>
      <c r="F260" s="474" t="s">
        <v>55</v>
      </c>
      <c r="G260" s="475" t="s">
        <v>465</v>
      </c>
      <c r="H260" s="483"/>
      <c r="I260" s="483"/>
    </row>
    <row r="261" customHeight="1" spans="1:9">
      <c r="A261" s="483"/>
      <c r="B261" s="483"/>
      <c r="C261" s="483"/>
      <c r="D261" s="483"/>
      <c r="E261" s="483"/>
      <c r="F261" s="474" t="s">
        <v>36</v>
      </c>
      <c r="G261" s="475" t="s">
        <v>466</v>
      </c>
      <c r="H261" s="483"/>
      <c r="I261" s="491"/>
    </row>
    <row r="262" customHeight="1" spans="1:9">
      <c r="A262" s="483"/>
      <c r="B262" s="483"/>
      <c r="C262" s="483"/>
      <c r="D262" s="483"/>
      <c r="E262" s="483"/>
      <c r="F262" s="474" t="s">
        <v>12</v>
      </c>
      <c r="G262" s="475" t="s">
        <v>467</v>
      </c>
      <c r="H262" s="483"/>
      <c r="I262" s="483"/>
    </row>
    <row r="263" customHeight="1" spans="1:9">
      <c r="A263" s="483"/>
      <c r="B263" s="483"/>
      <c r="C263" s="483"/>
      <c r="D263" s="483"/>
      <c r="E263" s="483"/>
      <c r="F263" s="474" t="s">
        <v>36</v>
      </c>
      <c r="G263" s="475" t="s">
        <v>468</v>
      </c>
      <c r="H263" s="483"/>
      <c r="I263" s="483"/>
    </row>
    <row r="264" customHeight="1" spans="1:9">
      <c r="A264" s="474" t="s">
        <v>469</v>
      </c>
      <c r="B264" s="474" t="s">
        <v>470</v>
      </c>
      <c r="C264" s="474" t="s">
        <v>461</v>
      </c>
      <c r="D264" s="474"/>
      <c r="E264" s="474" t="s">
        <v>32</v>
      </c>
      <c r="F264" s="474" t="s">
        <v>32</v>
      </c>
      <c r="G264" s="475" t="s">
        <v>471</v>
      </c>
      <c r="H264" s="483"/>
      <c r="I264" s="483"/>
    </row>
    <row r="265" customHeight="1" spans="1:9">
      <c r="A265" s="483"/>
      <c r="B265" s="483"/>
      <c r="C265" s="483"/>
      <c r="D265" s="483"/>
      <c r="E265" s="483"/>
      <c r="F265" s="474" t="s">
        <v>32</v>
      </c>
      <c r="G265" s="475" t="s">
        <v>472</v>
      </c>
      <c r="H265" s="483"/>
      <c r="I265" s="483"/>
    </row>
    <row r="266" customHeight="1" spans="1:9">
      <c r="A266" s="483"/>
      <c r="B266" s="483"/>
      <c r="C266" s="483"/>
      <c r="D266" s="483"/>
      <c r="E266" s="483"/>
      <c r="F266" s="474" t="s">
        <v>32</v>
      </c>
      <c r="G266" s="475" t="s">
        <v>473</v>
      </c>
      <c r="H266" s="483"/>
      <c r="I266" s="483"/>
    </row>
    <row r="267" customHeight="1" spans="1:9">
      <c r="A267" s="483"/>
      <c r="B267" s="483"/>
      <c r="C267" s="483"/>
      <c r="D267" s="483"/>
      <c r="E267" s="483"/>
      <c r="F267" s="474" t="s">
        <v>32</v>
      </c>
      <c r="G267" s="475" t="s">
        <v>474</v>
      </c>
      <c r="H267" s="483"/>
      <c r="I267" s="483"/>
    </row>
    <row r="268" s="468" customFormat="1" customHeight="1" spans="1:9">
      <c r="A268" s="483" t="s">
        <v>475</v>
      </c>
      <c r="B268" s="483" t="s">
        <v>476</v>
      </c>
      <c r="C268" s="483" t="s">
        <v>477</v>
      </c>
      <c r="D268" s="483"/>
      <c r="E268" s="483" t="s">
        <v>32</v>
      </c>
      <c r="F268" s="483" t="s">
        <v>32</v>
      </c>
      <c r="G268" s="484" t="s">
        <v>478</v>
      </c>
      <c r="H268" s="483"/>
      <c r="I268" s="483"/>
    </row>
    <row r="269" s="468" customFormat="1" customHeight="1" spans="1:9">
      <c r="A269" s="483" t="s">
        <v>479</v>
      </c>
      <c r="B269" s="483" t="s">
        <v>480</v>
      </c>
      <c r="C269" s="483" t="s">
        <v>477</v>
      </c>
      <c r="D269" s="483"/>
      <c r="E269" s="483" t="s">
        <v>26</v>
      </c>
      <c r="F269" s="483" t="s">
        <v>26</v>
      </c>
      <c r="G269" s="484" t="s">
        <v>481</v>
      </c>
      <c r="H269" s="483"/>
      <c r="I269" s="483"/>
    </row>
    <row r="270" customHeight="1" spans="1:9">
      <c r="A270" s="483" t="s">
        <v>482</v>
      </c>
      <c r="B270" s="483" t="s">
        <v>480</v>
      </c>
      <c r="C270" s="483" t="s">
        <v>483</v>
      </c>
      <c r="D270" s="483"/>
      <c r="E270" s="483"/>
      <c r="F270" s="483"/>
      <c r="G270" s="484" t="s">
        <v>484</v>
      </c>
      <c r="H270" s="483"/>
      <c r="I270" s="483"/>
    </row>
    <row r="271" customHeight="1" spans="1:9">
      <c r="A271" s="483"/>
      <c r="B271" s="483"/>
      <c r="C271" s="483"/>
      <c r="D271" s="483"/>
      <c r="E271" s="483"/>
      <c r="F271" s="483"/>
      <c r="G271" s="484" t="s">
        <v>485</v>
      </c>
      <c r="H271" s="483"/>
      <c r="I271" s="483"/>
    </row>
    <row r="272" customHeight="1" spans="1:9">
      <c r="A272" s="483"/>
      <c r="B272" s="483"/>
      <c r="C272" s="483"/>
      <c r="D272" s="483"/>
      <c r="E272" s="483"/>
      <c r="F272" s="483"/>
      <c r="G272" s="484" t="s">
        <v>486</v>
      </c>
      <c r="H272" s="483"/>
      <c r="I272" s="483"/>
    </row>
    <row r="273" customHeight="1" spans="1:9">
      <c r="A273" s="483"/>
      <c r="B273" s="483"/>
      <c r="C273" s="483"/>
      <c r="D273" s="483"/>
      <c r="E273" s="483"/>
      <c r="F273" s="483"/>
      <c r="G273" s="484" t="s">
        <v>487</v>
      </c>
      <c r="H273" s="483"/>
      <c r="I273" s="483"/>
    </row>
    <row r="274" customHeight="1" spans="1:9">
      <c r="A274" s="483"/>
      <c r="B274" s="483"/>
      <c r="C274" s="483"/>
      <c r="D274" s="483"/>
      <c r="E274" s="483"/>
      <c r="F274" s="483"/>
      <c r="G274" s="484" t="s">
        <v>488</v>
      </c>
      <c r="H274" s="483"/>
      <c r="I274" s="483"/>
    </row>
    <row r="275" customHeight="1" spans="1:9">
      <c r="A275" s="483"/>
      <c r="B275" s="483"/>
      <c r="C275" s="483"/>
      <c r="D275" s="483"/>
      <c r="E275" s="483"/>
      <c r="F275" s="483"/>
      <c r="G275" s="484" t="s">
        <v>489</v>
      </c>
      <c r="H275" s="483"/>
      <c r="I275" s="483"/>
    </row>
    <row r="276" customHeight="1" spans="1:9">
      <c r="A276" s="483"/>
      <c r="B276" s="483"/>
      <c r="C276" s="483"/>
      <c r="D276" s="483"/>
      <c r="E276" s="483"/>
      <c r="F276" s="483"/>
      <c r="G276" s="484" t="s">
        <v>490</v>
      </c>
      <c r="H276" s="483"/>
      <c r="I276" s="483"/>
    </row>
    <row r="277" customHeight="1" spans="1:9">
      <c r="A277" s="483"/>
      <c r="B277" s="483"/>
      <c r="C277" s="483"/>
      <c r="D277" s="483"/>
      <c r="E277" s="483"/>
      <c r="F277" s="483"/>
      <c r="G277" s="484" t="s">
        <v>491</v>
      </c>
      <c r="H277" s="483"/>
      <c r="I277" s="483"/>
    </row>
    <row r="278" customHeight="1" spans="1:9">
      <c r="A278" s="483" t="s">
        <v>492</v>
      </c>
      <c r="B278" s="483" t="s">
        <v>493</v>
      </c>
      <c r="C278" s="483" t="s">
        <v>494</v>
      </c>
      <c r="D278" s="483"/>
      <c r="E278" s="483" t="s">
        <v>12</v>
      </c>
      <c r="F278" s="483" t="s">
        <v>12</v>
      </c>
      <c r="G278" s="484" t="s">
        <v>495</v>
      </c>
      <c r="H278" s="483"/>
      <c r="I278" s="483"/>
    </row>
    <row r="279" customHeight="1" spans="1:9">
      <c r="A279" s="483" t="s">
        <v>496</v>
      </c>
      <c r="B279" s="483" t="s">
        <v>497</v>
      </c>
      <c r="C279" s="483" t="s">
        <v>498</v>
      </c>
      <c r="D279" s="483"/>
      <c r="E279" s="483" t="s">
        <v>26</v>
      </c>
      <c r="F279" s="483" t="s">
        <v>26</v>
      </c>
      <c r="G279" s="484" t="s">
        <v>499</v>
      </c>
      <c r="H279" s="483"/>
      <c r="I279" s="483"/>
    </row>
    <row r="280" customHeight="1" spans="1:9">
      <c r="A280" s="483"/>
      <c r="B280" s="483"/>
      <c r="C280" s="483"/>
      <c r="D280" s="483"/>
      <c r="E280" s="483"/>
      <c r="F280" s="483"/>
      <c r="G280" s="484" t="s">
        <v>500</v>
      </c>
      <c r="H280" s="483"/>
      <c r="I280" s="483"/>
    </row>
    <row r="281" customHeight="1" spans="1:9">
      <c r="A281" s="483"/>
      <c r="B281" s="483"/>
      <c r="C281" s="483"/>
      <c r="D281" s="483"/>
      <c r="E281" s="483"/>
      <c r="F281" s="483"/>
      <c r="G281" s="484" t="s">
        <v>501</v>
      </c>
      <c r="H281" s="483"/>
      <c r="I281" s="483"/>
    </row>
    <row r="282" customHeight="1" spans="1:9">
      <c r="A282" s="483" t="s">
        <v>502</v>
      </c>
      <c r="B282" s="483" t="s">
        <v>503</v>
      </c>
      <c r="C282" s="483" t="s">
        <v>504</v>
      </c>
      <c r="D282" s="483"/>
      <c r="E282" s="483" t="s">
        <v>26</v>
      </c>
      <c r="F282" s="483" t="s">
        <v>26</v>
      </c>
      <c r="G282" s="484" t="s">
        <v>505</v>
      </c>
      <c r="H282" s="483"/>
      <c r="I282" s="483"/>
    </row>
    <row r="283" customHeight="1" spans="1:9">
      <c r="A283" s="483"/>
      <c r="B283" s="483"/>
      <c r="C283" s="483"/>
      <c r="D283" s="483"/>
      <c r="E283" s="483"/>
      <c r="F283" s="483"/>
      <c r="G283" s="484"/>
      <c r="H283" s="483"/>
      <c r="I283" s="483"/>
    </row>
    <row r="284" customHeight="1" spans="1:9">
      <c r="A284" s="483" t="s">
        <v>506</v>
      </c>
      <c r="B284" s="483" t="s">
        <v>507</v>
      </c>
      <c r="C284" s="483" t="s">
        <v>508</v>
      </c>
      <c r="D284" s="483"/>
      <c r="E284" s="483" t="s">
        <v>32</v>
      </c>
      <c r="F284" s="483" t="s">
        <v>32</v>
      </c>
      <c r="G284" s="484" t="s">
        <v>509</v>
      </c>
      <c r="H284" s="483"/>
      <c r="I284" s="483"/>
    </row>
    <row r="285" customHeight="1" spans="1:9">
      <c r="A285" s="483" t="s">
        <v>510</v>
      </c>
      <c r="B285" s="483" t="s">
        <v>511</v>
      </c>
      <c r="C285" s="483" t="s">
        <v>512</v>
      </c>
      <c r="D285" s="483"/>
      <c r="E285" s="483" t="s">
        <v>55</v>
      </c>
      <c r="F285" s="483" t="s">
        <v>55</v>
      </c>
      <c r="G285" s="484" t="s">
        <v>513</v>
      </c>
      <c r="H285" s="483"/>
      <c r="I285" s="483"/>
    </row>
    <row r="286" customHeight="1" spans="1:9">
      <c r="A286" s="483"/>
      <c r="B286" s="483"/>
      <c r="C286" s="483"/>
      <c r="D286" s="483"/>
      <c r="E286" s="483"/>
      <c r="F286" s="483"/>
      <c r="G286" s="484" t="s">
        <v>514</v>
      </c>
      <c r="H286" s="483"/>
      <c r="I286" s="483"/>
    </row>
    <row r="287" customHeight="1" spans="1:9">
      <c r="A287" s="483"/>
      <c r="B287" s="483"/>
      <c r="C287" s="483"/>
      <c r="D287" s="483"/>
      <c r="E287" s="483"/>
      <c r="F287" s="483"/>
      <c r="G287" s="484" t="s">
        <v>515</v>
      </c>
      <c r="H287" s="483"/>
      <c r="I287" s="483"/>
    </row>
    <row r="288" customHeight="1" spans="1:9">
      <c r="A288" s="483"/>
      <c r="B288" s="483"/>
      <c r="C288" s="483"/>
      <c r="D288" s="483"/>
      <c r="E288" s="483"/>
      <c r="F288" s="483"/>
      <c r="G288" s="484" t="s">
        <v>516</v>
      </c>
      <c r="H288" s="483"/>
      <c r="I288" s="483"/>
    </row>
    <row r="289" customHeight="1" spans="1:9">
      <c r="A289" s="483" t="s">
        <v>517</v>
      </c>
      <c r="B289" s="483" t="s">
        <v>518</v>
      </c>
      <c r="C289" s="483" t="s">
        <v>519</v>
      </c>
      <c r="D289" s="483"/>
      <c r="E289" s="483" t="s">
        <v>344</v>
      </c>
      <c r="F289" s="483" t="s">
        <v>344</v>
      </c>
      <c r="G289" s="484" t="s">
        <v>520</v>
      </c>
      <c r="H289" s="483"/>
      <c r="I289" s="483"/>
    </row>
    <row r="290" customHeight="1" spans="1:9">
      <c r="A290" s="483"/>
      <c r="B290" s="483"/>
      <c r="C290" s="483"/>
      <c r="D290" s="483"/>
      <c r="E290" s="483"/>
      <c r="F290" s="483"/>
      <c r="G290" s="484" t="s">
        <v>521</v>
      </c>
      <c r="H290" s="483"/>
      <c r="I290" s="483"/>
    </row>
    <row r="291" customHeight="1" spans="1:9">
      <c r="A291" s="483"/>
      <c r="B291" s="483"/>
      <c r="C291" s="483"/>
      <c r="D291" s="483"/>
      <c r="E291" s="483"/>
      <c r="F291" s="483"/>
      <c r="G291" s="484" t="s">
        <v>522</v>
      </c>
      <c r="H291" s="483"/>
      <c r="I291" s="483"/>
    </row>
    <row r="292" customHeight="1" spans="1:9">
      <c r="A292" s="483"/>
      <c r="B292" s="483"/>
      <c r="C292" s="483"/>
      <c r="D292" s="483"/>
      <c r="E292" s="483"/>
      <c r="F292" s="483"/>
      <c r="G292" s="484" t="s">
        <v>523</v>
      </c>
      <c r="H292" s="483"/>
      <c r="I292" s="483"/>
    </row>
    <row r="293" customHeight="1" spans="1:9">
      <c r="A293" s="483" t="s">
        <v>524</v>
      </c>
      <c r="B293" s="483" t="s">
        <v>525</v>
      </c>
      <c r="C293" s="483" t="s">
        <v>526</v>
      </c>
      <c r="D293" s="483"/>
      <c r="E293" s="483" t="s">
        <v>32</v>
      </c>
      <c r="F293" s="483" t="s">
        <v>32</v>
      </c>
      <c r="G293" s="484" t="s">
        <v>527</v>
      </c>
      <c r="H293" s="483"/>
      <c r="I293" s="483"/>
    </row>
    <row r="294" customHeight="1" spans="1:9">
      <c r="A294" s="483"/>
      <c r="B294" s="483"/>
      <c r="C294" s="483"/>
      <c r="D294" s="483"/>
      <c r="E294" s="483"/>
      <c r="F294" s="483"/>
      <c r="G294" s="484" t="s">
        <v>528</v>
      </c>
      <c r="H294" s="483"/>
      <c r="I294" s="483"/>
    </row>
    <row r="295" customHeight="1" spans="1:9">
      <c r="A295" s="483"/>
      <c r="B295" s="483"/>
      <c r="C295" s="483"/>
      <c r="D295" s="483"/>
      <c r="E295" s="483"/>
      <c r="F295" s="483"/>
      <c r="G295" s="484" t="s">
        <v>529</v>
      </c>
      <c r="H295" s="483"/>
      <c r="I295" s="483"/>
    </row>
    <row r="296" customHeight="1" spans="1:9">
      <c r="A296" s="483" t="s">
        <v>530</v>
      </c>
      <c r="B296" s="483" t="s">
        <v>525</v>
      </c>
      <c r="C296" s="483" t="s">
        <v>526</v>
      </c>
      <c r="D296" s="483"/>
      <c r="E296" s="483" t="s">
        <v>32</v>
      </c>
      <c r="F296" s="483" t="s">
        <v>32</v>
      </c>
      <c r="G296" s="484" t="s">
        <v>531</v>
      </c>
      <c r="H296" s="483"/>
      <c r="I296" s="483"/>
    </row>
    <row r="297" customHeight="1" spans="1:9">
      <c r="A297" s="483"/>
      <c r="B297" s="483"/>
      <c r="C297" s="483"/>
      <c r="D297" s="483"/>
      <c r="E297" s="483"/>
      <c r="F297" s="483"/>
      <c r="G297" s="484" t="s">
        <v>532</v>
      </c>
      <c r="H297" s="483"/>
      <c r="I297" s="483"/>
    </row>
    <row r="298" customHeight="1" spans="1:9">
      <c r="A298" s="483" t="s">
        <v>533</v>
      </c>
      <c r="B298" s="483" t="s">
        <v>534</v>
      </c>
      <c r="C298" s="479" t="s">
        <v>535</v>
      </c>
      <c r="D298" s="483"/>
      <c r="E298" s="483" t="s">
        <v>12</v>
      </c>
      <c r="F298" s="483" t="s">
        <v>344</v>
      </c>
      <c r="G298" s="484" t="s">
        <v>536</v>
      </c>
      <c r="H298" s="483"/>
      <c r="I298" s="483"/>
    </row>
    <row r="299" customHeight="1" spans="1:9">
      <c r="A299" s="483"/>
      <c r="B299" s="483"/>
      <c r="C299" s="483"/>
      <c r="D299" s="483"/>
      <c r="E299" s="483"/>
      <c r="F299" s="483" t="s">
        <v>12</v>
      </c>
      <c r="G299" s="484" t="s">
        <v>537</v>
      </c>
      <c r="H299" s="483"/>
      <c r="I299" s="483"/>
    </row>
    <row r="300" customHeight="1" spans="1:9">
      <c r="A300" s="483"/>
      <c r="B300" s="483"/>
      <c r="C300" s="483"/>
      <c r="D300" s="483"/>
      <c r="E300" s="483"/>
      <c r="F300" s="483" t="s">
        <v>55</v>
      </c>
      <c r="G300" s="484" t="s">
        <v>538</v>
      </c>
      <c r="H300" s="483"/>
      <c r="I300" s="483"/>
    </row>
    <row r="301" customHeight="1" spans="1:9">
      <c r="A301" s="483"/>
      <c r="B301" s="483"/>
      <c r="C301" s="483"/>
      <c r="D301" s="483"/>
      <c r="E301" s="483"/>
      <c r="F301" s="483" t="s">
        <v>344</v>
      </c>
      <c r="G301" s="484" t="s">
        <v>539</v>
      </c>
      <c r="H301" s="483"/>
      <c r="I301" s="483"/>
    </row>
    <row r="302" customHeight="1" spans="1:9">
      <c r="A302" s="483"/>
      <c r="B302" s="483"/>
      <c r="C302" s="483"/>
      <c r="D302" s="483"/>
      <c r="E302" s="483"/>
      <c r="F302" s="483" t="s">
        <v>12</v>
      </c>
      <c r="G302" s="484" t="s">
        <v>540</v>
      </c>
      <c r="H302" s="483"/>
      <c r="I302" s="483"/>
    </row>
    <row r="303" customHeight="1" spans="1:9">
      <c r="A303" s="483"/>
      <c r="B303" s="483"/>
      <c r="C303" s="483"/>
      <c r="D303" s="483"/>
      <c r="E303" s="483"/>
      <c r="F303" s="483" t="s">
        <v>55</v>
      </c>
      <c r="G303" s="484" t="s">
        <v>541</v>
      </c>
      <c r="H303" s="483"/>
      <c r="I303" s="483"/>
    </row>
    <row r="304" s="469" customFormat="1" customHeight="1" spans="1:9">
      <c r="A304" s="488" t="s">
        <v>542</v>
      </c>
      <c r="B304" s="488" t="s">
        <v>543</v>
      </c>
      <c r="C304" s="488" t="s">
        <v>544</v>
      </c>
      <c r="D304" s="488" t="s">
        <v>545</v>
      </c>
      <c r="E304" s="488" t="s">
        <v>546</v>
      </c>
      <c r="F304" s="488" t="s">
        <v>547</v>
      </c>
      <c r="G304" s="489" t="s">
        <v>548</v>
      </c>
      <c r="H304" s="488"/>
      <c r="I304" s="488"/>
    </row>
    <row r="305" s="469" customFormat="1" customHeight="1" spans="1:9">
      <c r="A305" s="488"/>
      <c r="B305" s="488"/>
      <c r="C305" s="488"/>
      <c r="D305" s="488"/>
      <c r="E305" s="488"/>
      <c r="F305" s="488"/>
      <c r="G305" s="489"/>
      <c r="H305" s="488"/>
      <c r="I305" s="488"/>
    </row>
    <row r="306" s="469" customFormat="1" customHeight="1" spans="1:9">
      <c r="A306" s="488"/>
      <c r="B306" s="488"/>
      <c r="C306" s="488"/>
      <c r="D306" s="488"/>
      <c r="E306" s="488"/>
      <c r="F306" s="488"/>
      <c r="G306" s="489"/>
      <c r="H306" s="488"/>
      <c r="I306" s="488"/>
    </row>
    <row r="307" s="469" customFormat="1" customHeight="1" spans="1:9">
      <c r="A307" s="488" t="s">
        <v>549</v>
      </c>
      <c r="B307" s="488" t="s">
        <v>550</v>
      </c>
      <c r="C307" s="488" t="s">
        <v>551</v>
      </c>
      <c r="D307" s="488" t="s">
        <v>55</v>
      </c>
      <c r="E307" s="488" t="s">
        <v>36</v>
      </c>
      <c r="F307" s="488"/>
      <c r="G307" s="489" t="s">
        <v>552</v>
      </c>
      <c r="H307" s="488"/>
      <c r="I307" s="488"/>
    </row>
    <row r="308" s="469" customFormat="1" customHeight="1" spans="1:9">
      <c r="A308" s="488" t="s">
        <v>553</v>
      </c>
      <c r="B308" s="488" t="s">
        <v>554</v>
      </c>
      <c r="C308" s="488" t="s">
        <v>551</v>
      </c>
      <c r="D308" s="488" t="s">
        <v>55</v>
      </c>
      <c r="E308" s="488" t="s">
        <v>36</v>
      </c>
      <c r="F308" s="488"/>
      <c r="G308" s="489" t="s">
        <v>555</v>
      </c>
      <c r="H308" s="488"/>
      <c r="I308" s="488"/>
    </row>
    <row r="309" s="469" customFormat="1" customHeight="1" spans="1:9">
      <c r="A309" s="488" t="s">
        <v>556</v>
      </c>
      <c r="B309" s="488" t="s">
        <v>557</v>
      </c>
      <c r="C309" s="488" t="s">
        <v>551</v>
      </c>
      <c r="D309" s="488" t="s">
        <v>55</v>
      </c>
      <c r="E309" s="488" t="s">
        <v>36</v>
      </c>
      <c r="F309" s="488"/>
      <c r="G309" s="489" t="s">
        <v>558</v>
      </c>
      <c r="H309" s="488"/>
      <c r="I309" s="488"/>
    </row>
    <row r="310" s="469" customFormat="1" customHeight="1" spans="1:9">
      <c r="A310" s="488" t="s">
        <v>559</v>
      </c>
      <c r="B310" s="488" t="s">
        <v>560</v>
      </c>
      <c r="C310" s="488" t="s">
        <v>551</v>
      </c>
      <c r="D310" s="488" t="s">
        <v>55</v>
      </c>
      <c r="E310" s="488" t="s">
        <v>36</v>
      </c>
      <c r="F310" s="488" t="s">
        <v>36</v>
      </c>
      <c r="G310" s="489" t="s">
        <v>561</v>
      </c>
      <c r="H310" s="488"/>
      <c r="I310" s="488"/>
    </row>
    <row r="311" s="469" customFormat="1" customHeight="1" spans="1:9">
      <c r="A311" s="488"/>
      <c r="B311" s="488"/>
      <c r="C311" s="488"/>
      <c r="D311" s="488"/>
      <c r="E311" s="488"/>
      <c r="F311" s="488"/>
      <c r="G311" s="489" t="s">
        <v>562</v>
      </c>
      <c r="H311" s="488"/>
      <c r="I311" s="488"/>
    </row>
    <row r="312" s="469" customFormat="1" customHeight="1" spans="1:9">
      <c r="A312" s="488" t="s">
        <v>563</v>
      </c>
      <c r="B312" s="488" t="s">
        <v>564</v>
      </c>
      <c r="C312" s="488" t="s">
        <v>551</v>
      </c>
      <c r="D312" s="488" t="s">
        <v>55</v>
      </c>
      <c r="E312" s="488" t="s">
        <v>36</v>
      </c>
      <c r="F312" s="488"/>
      <c r="G312" s="489" t="s">
        <v>565</v>
      </c>
      <c r="H312" s="488"/>
      <c r="I312" s="488"/>
    </row>
    <row r="313" s="469" customFormat="1" customHeight="1" spans="1:9">
      <c r="A313" s="488" t="s">
        <v>566</v>
      </c>
      <c r="B313" s="488" t="s">
        <v>554</v>
      </c>
      <c r="C313" s="488" t="s">
        <v>551</v>
      </c>
      <c r="D313" s="488" t="s">
        <v>55</v>
      </c>
      <c r="E313" s="488" t="s">
        <v>36</v>
      </c>
      <c r="F313" s="488"/>
      <c r="G313" s="489" t="s">
        <v>567</v>
      </c>
      <c r="H313" s="488"/>
      <c r="I313" s="488"/>
    </row>
    <row r="314" s="469" customFormat="1" customHeight="1" spans="1:9">
      <c r="A314" s="490"/>
      <c r="B314" s="490"/>
      <c r="C314" s="490"/>
      <c r="D314" s="488"/>
      <c r="E314" s="488"/>
      <c r="F314" s="488"/>
      <c r="G314" s="489" t="s">
        <v>568</v>
      </c>
      <c r="H314" s="488"/>
      <c r="I314" s="488"/>
    </row>
    <row r="315" s="469" customFormat="1" customHeight="1" spans="1:9">
      <c r="A315" s="488"/>
      <c r="B315" s="488"/>
      <c r="C315" s="488"/>
      <c r="D315" s="488"/>
      <c r="E315" s="488"/>
      <c r="F315" s="488"/>
      <c r="G315" s="489" t="s">
        <v>569</v>
      </c>
      <c r="H315" s="488"/>
      <c r="I315" s="488"/>
    </row>
    <row r="316" s="469" customFormat="1" customHeight="1" spans="1:9">
      <c r="A316" s="488" t="s">
        <v>570</v>
      </c>
      <c r="B316" s="488" t="s">
        <v>493</v>
      </c>
      <c r="C316" s="488" t="s">
        <v>551</v>
      </c>
      <c r="D316" s="488" t="s">
        <v>55</v>
      </c>
      <c r="E316" s="488" t="s">
        <v>36</v>
      </c>
      <c r="F316" s="488"/>
      <c r="G316" s="489" t="s">
        <v>569</v>
      </c>
      <c r="H316" s="488"/>
      <c r="I316" s="488"/>
    </row>
    <row r="317" s="469" customFormat="1" customHeight="1" spans="1:9">
      <c r="A317" s="488" t="s">
        <v>571</v>
      </c>
      <c r="B317" s="488" t="s">
        <v>493</v>
      </c>
      <c r="C317" s="488" t="s">
        <v>551</v>
      </c>
      <c r="D317" s="488" t="s">
        <v>55</v>
      </c>
      <c r="E317" s="488" t="s">
        <v>36</v>
      </c>
      <c r="F317" s="488"/>
      <c r="G317" s="489" t="s">
        <v>572</v>
      </c>
      <c r="H317" s="488"/>
      <c r="I317" s="488"/>
    </row>
    <row r="318" s="469" customFormat="1" customHeight="1" spans="1:9">
      <c r="A318" s="488" t="s">
        <v>573</v>
      </c>
      <c r="B318" s="488" t="s">
        <v>574</v>
      </c>
      <c r="C318" s="488" t="s">
        <v>551</v>
      </c>
      <c r="D318" s="488" t="s">
        <v>55</v>
      </c>
      <c r="E318" s="488" t="s">
        <v>36</v>
      </c>
      <c r="F318" s="488" t="s">
        <v>25</v>
      </c>
      <c r="G318" s="489" t="s">
        <v>575</v>
      </c>
      <c r="H318" s="488"/>
      <c r="I318" s="488"/>
    </row>
  </sheetData>
  <sheetProtection sort="0" autoFilter="0"/>
  <autoFilter ref="A1:I169">
    <extLst/>
  </autoFilter>
  <mergeCells count="176">
    <mergeCell ref="A57:H57"/>
    <mergeCell ref="A84:H84"/>
    <mergeCell ref="A2:A3"/>
    <mergeCell ref="A7:A11"/>
    <mergeCell ref="A13:A28"/>
    <mergeCell ref="A29:A30"/>
    <mergeCell ref="A32:A47"/>
    <mergeCell ref="A48:A53"/>
    <mergeCell ref="A54:A55"/>
    <mergeCell ref="A58:A64"/>
    <mergeCell ref="A65:A67"/>
    <mergeCell ref="A68:A69"/>
    <mergeCell ref="A70:A73"/>
    <mergeCell ref="A74:A75"/>
    <mergeCell ref="A76:A79"/>
    <mergeCell ref="A80:A81"/>
    <mergeCell ref="A82:A83"/>
    <mergeCell ref="A85:A89"/>
    <mergeCell ref="A90:A91"/>
    <mergeCell ref="A92:A97"/>
    <mergeCell ref="A98:A100"/>
    <mergeCell ref="A101:A111"/>
    <mergeCell ref="A117:A118"/>
    <mergeCell ref="A119:A120"/>
    <mergeCell ref="A121:A123"/>
    <mergeCell ref="A126:A131"/>
    <mergeCell ref="A132:A139"/>
    <mergeCell ref="A142:A145"/>
    <mergeCell ref="A146:A148"/>
    <mergeCell ref="A149:A153"/>
    <mergeCell ref="A154:A157"/>
    <mergeCell ref="A158:A161"/>
    <mergeCell ref="A162:A164"/>
    <mergeCell ref="A165:A166"/>
    <mergeCell ref="A179:A180"/>
    <mergeCell ref="A181:A182"/>
    <mergeCell ref="A195:A200"/>
    <mergeCell ref="A201:A202"/>
    <mergeCell ref="A210:A215"/>
    <mergeCell ref="A270:A277"/>
    <mergeCell ref="A285:A288"/>
    <mergeCell ref="A289:A292"/>
    <mergeCell ref="A293:A295"/>
    <mergeCell ref="A296:A297"/>
    <mergeCell ref="B2:B3"/>
    <mergeCell ref="B7:B11"/>
    <mergeCell ref="B13:B28"/>
    <mergeCell ref="B29:B30"/>
    <mergeCell ref="B32:B47"/>
    <mergeCell ref="B48:B53"/>
    <mergeCell ref="B54:B55"/>
    <mergeCell ref="B58:B64"/>
    <mergeCell ref="B65:B67"/>
    <mergeCell ref="B68:B69"/>
    <mergeCell ref="B70:B73"/>
    <mergeCell ref="B74:B75"/>
    <mergeCell ref="B76:B79"/>
    <mergeCell ref="B80:B81"/>
    <mergeCell ref="B82:B83"/>
    <mergeCell ref="B85:B89"/>
    <mergeCell ref="B90:B91"/>
    <mergeCell ref="B92:B97"/>
    <mergeCell ref="B98:B100"/>
    <mergeCell ref="B101:B111"/>
    <mergeCell ref="B117:B118"/>
    <mergeCell ref="B119:B120"/>
    <mergeCell ref="B121:B123"/>
    <mergeCell ref="B126:B131"/>
    <mergeCell ref="B132:B139"/>
    <mergeCell ref="B142:B145"/>
    <mergeCell ref="B146:B148"/>
    <mergeCell ref="B149:B153"/>
    <mergeCell ref="B154:B157"/>
    <mergeCell ref="B158:B161"/>
    <mergeCell ref="B162:B164"/>
    <mergeCell ref="B165:B166"/>
    <mergeCell ref="B179:B180"/>
    <mergeCell ref="B181:B182"/>
    <mergeCell ref="B195:B200"/>
    <mergeCell ref="B201:B202"/>
    <mergeCell ref="B210:B215"/>
    <mergeCell ref="B270:B277"/>
    <mergeCell ref="B285:B288"/>
    <mergeCell ref="B289:B292"/>
    <mergeCell ref="B293:B295"/>
    <mergeCell ref="B296:B297"/>
    <mergeCell ref="C2:C3"/>
    <mergeCell ref="C7:C11"/>
    <mergeCell ref="C13:C28"/>
    <mergeCell ref="C29:C30"/>
    <mergeCell ref="C32:C47"/>
    <mergeCell ref="C48:C53"/>
    <mergeCell ref="C54:C55"/>
    <mergeCell ref="C58:C64"/>
    <mergeCell ref="C65:C67"/>
    <mergeCell ref="C68:C69"/>
    <mergeCell ref="C70:C73"/>
    <mergeCell ref="C74:C75"/>
    <mergeCell ref="C76:C79"/>
    <mergeCell ref="C80:C81"/>
    <mergeCell ref="C82:C83"/>
    <mergeCell ref="C85:C89"/>
    <mergeCell ref="C90:C91"/>
    <mergeCell ref="C92:C97"/>
    <mergeCell ref="C98:C100"/>
    <mergeCell ref="C101:C111"/>
    <mergeCell ref="C117:C118"/>
    <mergeCell ref="C119:C120"/>
    <mergeCell ref="C121:C123"/>
    <mergeCell ref="C126:C131"/>
    <mergeCell ref="C132:C139"/>
    <mergeCell ref="C142:C145"/>
    <mergeCell ref="C146:C148"/>
    <mergeCell ref="C149:C153"/>
    <mergeCell ref="C154:C157"/>
    <mergeCell ref="C158:C161"/>
    <mergeCell ref="C162:C164"/>
    <mergeCell ref="C165:C166"/>
    <mergeCell ref="C179:C180"/>
    <mergeCell ref="C181:C182"/>
    <mergeCell ref="C195:C200"/>
    <mergeCell ref="C201:C202"/>
    <mergeCell ref="C210:C215"/>
    <mergeCell ref="C270:C277"/>
    <mergeCell ref="C285:C288"/>
    <mergeCell ref="C289:C292"/>
    <mergeCell ref="C293:C295"/>
    <mergeCell ref="C296:C297"/>
    <mergeCell ref="E7:E11"/>
    <mergeCell ref="E13:E28"/>
    <mergeCell ref="E29:E30"/>
    <mergeCell ref="E32:E47"/>
    <mergeCell ref="E48:E53"/>
    <mergeCell ref="E54:E55"/>
    <mergeCell ref="E58:E64"/>
    <mergeCell ref="E65:E67"/>
    <mergeCell ref="E68:E69"/>
    <mergeCell ref="E70:E73"/>
    <mergeCell ref="E74:E75"/>
    <mergeCell ref="E76:E79"/>
    <mergeCell ref="E80:E81"/>
    <mergeCell ref="E82:E83"/>
    <mergeCell ref="E85:E89"/>
    <mergeCell ref="E90:E91"/>
    <mergeCell ref="E92:E97"/>
    <mergeCell ref="E98:E100"/>
    <mergeCell ref="E101:E111"/>
    <mergeCell ref="E117:E118"/>
    <mergeCell ref="E119:E120"/>
    <mergeCell ref="E121:E123"/>
    <mergeCell ref="E126:E131"/>
    <mergeCell ref="E132:E139"/>
    <mergeCell ref="E142:E145"/>
    <mergeCell ref="E146:E148"/>
    <mergeCell ref="E149:E153"/>
    <mergeCell ref="E154:E157"/>
    <mergeCell ref="E158:E161"/>
    <mergeCell ref="E162:E164"/>
    <mergeCell ref="E165:E166"/>
    <mergeCell ref="E179:E180"/>
    <mergeCell ref="E181:E182"/>
    <mergeCell ref="E195:E200"/>
    <mergeCell ref="E201:E202"/>
    <mergeCell ref="E210:E215"/>
    <mergeCell ref="E269:E277"/>
    <mergeCell ref="E285:E288"/>
    <mergeCell ref="E289:E292"/>
    <mergeCell ref="E293:E295"/>
    <mergeCell ref="E296:E297"/>
    <mergeCell ref="F201:F202"/>
    <mergeCell ref="F269:F277"/>
    <mergeCell ref="F285:F288"/>
    <mergeCell ref="F289:F292"/>
    <mergeCell ref="F293:F295"/>
    <mergeCell ref="F296:F297"/>
    <mergeCell ref="G106:G10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zoomScale="130" zoomScaleNormal="130" topLeftCell="A7" workbookViewId="0">
      <selection activeCell="F24" sqref="F24"/>
    </sheetView>
  </sheetViews>
  <sheetFormatPr defaultColWidth="9" defaultRowHeight="16.5" customHeight="1"/>
  <cols>
    <col min="1" max="1" width="15" style="421" customWidth="1"/>
    <col min="2" max="2" width="15.1428571428571" style="421" customWidth="1"/>
    <col min="3" max="3" width="7.42857142857143" style="421" customWidth="1"/>
    <col min="4" max="4" width="13.4285714285714" style="421" customWidth="1"/>
    <col min="5" max="5" width="17.1428571428571" style="421" customWidth="1"/>
    <col min="6" max="7" width="14.8571428571429" style="421" customWidth="1"/>
    <col min="8" max="8" width="21.8571428571429" style="421" customWidth="1"/>
    <col min="9" max="9" width="15.4285714285714" style="421" customWidth="1"/>
    <col min="10" max="10" width="10.4285714285714" style="421" customWidth="1"/>
    <col min="11" max="11" width="19.6285714285714" style="422" customWidth="1"/>
    <col min="12" max="14" width="22" style="422"/>
    <col min="15" max="15" width="24.3714285714286" style="422"/>
    <col min="16" max="16" width="20.3714285714286" style="422"/>
    <col min="17" max="17" width="11.8761904761905" style="422"/>
    <col min="18" max="18" width="24.3714285714286" style="422"/>
    <col min="19" max="16384" width="9" style="422"/>
  </cols>
  <sheetData>
    <row r="1" customHeight="1" spans="1:16">
      <c r="A1" s="423"/>
      <c r="B1" s="424"/>
      <c r="C1" s="424"/>
      <c r="D1" s="425"/>
      <c r="E1" s="426" t="s">
        <v>576</v>
      </c>
      <c r="F1" s="426" t="s">
        <v>577</v>
      </c>
      <c r="G1" s="426" t="s">
        <v>578</v>
      </c>
      <c r="H1" s="427" t="s">
        <v>579</v>
      </c>
      <c r="I1" s="455" t="s">
        <v>580</v>
      </c>
      <c r="J1" s="456">
        <v>3.5</v>
      </c>
      <c r="L1" s="457" t="s">
        <v>581</v>
      </c>
      <c r="M1" s="457"/>
      <c r="N1" s="457"/>
      <c r="O1" s="457"/>
      <c r="P1" s="457" t="s">
        <v>582</v>
      </c>
    </row>
    <row r="2" ht="15" customHeight="1" spans="1:16">
      <c r="A2" s="428"/>
      <c r="B2" s="429"/>
      <c r="C2" s="429"/>
      <c r="D2" s="430"/>
      <c r="E2" s="426"/>
      <c r="F2" s="426"/>
      <c r="G2" s="426"/>
      <c r="H2" s="427"/>
      <c r="I2" s="455"/>
      <c r="J2" s="456"/>
      <c r="L2" s="364">
        <v>21.9</v>
      </c>
      <c r="M2" s="364">
        <v>22.2</v>
      </c>
      <c r="N2" s="364">
        <v>22.3</v>
      </c>
      <c r="O2" s="364">
        <v>22.5</v>
      </c>
      <c r="P2" s="458">
        <f>AVERAGE(L2:O2)</f>
        <v>22.225</v>
      </c>
    </row>
    <row r="3" ht="18" customHeight="1" spans="1:16">
      <c r="A3" s="426" t="s">
        <v>583</v>
      </c>
      <c r="B3" s="426"/>
      <c r="C3" s="426"/>
      <c r="D3" s="426"/>
      <c r="E3" s="7">
        <v>5.4</v>
      </c>
      <c r="F3" s="7">
        <v>5.3</v>
      </c>
      <c r="G3" s="7">
        <v>5.2</v>
      </c>
      <c r="H3" s="431">
        <f>AVERAGE(E3:G3)</f>
        <v>5.3</v>
      </c>
      <c r="I3" s="455"/>
      <c r="J3" s="456"/>
      <c r="L3" s="364">
        <v>2.5</v>
      </c>
      <c r="M3" s="364">
        <v>2.4</v>
      </c>
      <c r="N3" s="364">
        <v>2.5</v>
      </c>
      <c r="O3" s="364">
        <v>2.3</v>
      </c>
      <c r="P3" s="458">
        <f t="shared" ref="P3:P9" si="0">AVERAGE(L3:O3)</f>
        <v>2.425</v>
      </c>
    </row>
    <row r="4" ht="18" customHeight="1" spans="1:16">
      <c r="A4" s="426" t="s">
        <v>584</v>
      </c>
      <c r="B4" s="426"/>
      <c r="C4" s="426"/>
      <c r="D4" s="426"/>
      <c r="E4" s="10">
        <v>128.7</v>
      </c>
      <c r="F4" s="10">
        <v>128.1</v>
      </c>
      <c r="G4" s="10">
        <v>128</v>
      </c>
      <c r="H4" s="431">
        <f>AVERAGE(E4:G4)</f>
        <v>128.266666666667</v>
      </c>
      <c r="I4" s="455"/>
      <c r="J4" s="456"/>
      <c r="L4" s="364">
        <v>7</v>
      </c>
      <c r="M4" s="364">
        <v>7</v>
      </c>
      <c r="N4" s="364">
        <v>6.9</v>
      </c>
      <c r="O4" s="364">
        <v>7.5</v>
      </c>
      <c r="P4" s="458">
        <f t="shared" si="0"/>
        <v>7.1</v>
      </c>
    </row>
    <row r="5" ht="18" customHeight="1" spans="1:16">
      <c r="A5" s="426" t="s">
        <v>585</v>
      </c>
      <c r="B5" s="426"/>
      <c r="C5" s="426"/>
      <c r="D5" s="426"/>
      <c r="E5" s="10">
        <v>10.5</v>
      </c>
      <c r="F5" s="10">
        <v>10.5</v>
      </c>
      <c r="G5" s="10">
        <v>10.5</v>
      </c>
      <c r="H5" s="431">
        <f>AVERAGE(E5:G5)</f>
        <v>10.5</v>
      </c>
      <c r="I5" s="455"/>
      <c r="J5" s="456"/>
      <c r="L5" s="364">
        <v>4376</v>
      </c>
      <c r="M5" s="364">
        <v>4391</v>
      </c>
      <c r="N5" s="364">
        <v>4296</v>
      </c>
      <c r="O5" s="364">
        <v>4708</v>
      </c>
      <c r="P5" s="458">
        <f t="shared" si="0"/>
        <v>4442.75</v>
      </c>
    </row>
    <row r="6" ht="18" customHeight="1" spans="1:16">
      <c r="A6" s="426" t="s">
        <v>586</v>
      </c>
      <c r="B6" s="426"/>
      <c r="C6" s="426"/>
      <c r="D6" s="426"/>
      <c r="E6" s="10">
        <v>10.2</v>
      </c>
      <c r="F6" s="10">
        <v>10</v>
      </c>
      <c r="G6" s="10">
        <v>10.4</v>
      </c>
      <c r="H6" s="431">
        <f>AVERAGE(E6:G6)</f>
        <v>10.2</v>
      </c>
      <c r="I6" s="455"/>
      <c r="J6" s="456"/>
      <c r="P6" s="459"/>
    </row>
    <row r="7" ht="18" customHeight="1" spans="1:16">
      <c r="A7" s="426" t="s">
        <v>587</v>
      </c>
      <c r="B7" s="426"/>
      <c r="C7" s="426"/>
      <c r="D7" s="426"/>
      <c r="E7" s="10">
        <v>6084</v>
      </c>
      <c r="F7" s="10">
        <v>5973</v>
      </c>
      <c r="G7" s="10">
        <v>6299</v>
      </c>
      <c r="H7" s="431">
        <f>AVERAGE(E7:G7)</f>
        <v>6118.66666666667</v>
      </c>
      <c r="I7" s="455"/>
      <c r="J7" s="456"/>
      <c r="L7" s="457" t="s">
        <v>588</v>
      </c>
      <c r="M7" s="460"/>
      <c r="N7" s="460"/>
      <c r="O7" s="460"/>
      <c r="P7" s="461" t="s">
        <v>582</v>
      </c>
    </row>
    <row r="8" ht="18" customHeight="1" spans="1:16">
      <c r="A8" s="426" t="s">
        <v>589</v>
      </c>
      <c r="B8" s="426"/>
      <c r="C8" s="426"/>
      <c r="D8" s="426"/>
      <c r="E8" s="10">
        <v>1064.5</v>
      </c>
      <c r="F8" s="10">
        <v>1060.9</v>
      </c>
      <c r="G8" s="10">
        <v>1043.1</v>
      </c>
      <c r="H8" s="431">
        <f t="shared" ref="H4:H20" si="1">AVERAGE(E8:G8)</f>
        <v>1056.16666666667</v>
      </c>
      <c r="I8" s="455"/>
      <c r="J8" s="456"/>
      <c r="L8" s="364">
        <v>97</v>
      </c>
      <c r="M8" s="364">
        <v>54</v>
      </c>
      <c r="N8" s="364">
        <v>130</v>
      </c>
      <c r="O8" s="364">
        <v>73</v>
      </c>
      <c r="P8" s="458">
        <f t="shared" si="0"/>
        <v>88.5</v>
      </c>
    </row>
    <row r="9" ht="18" customHeight="1" spans="1:16">
      <c r="A9" s="432" t="s">
        <v>590</v>
      </c>
      <c r="B9" s="432"/>
      <c r="C9" s="432"/>
      <c r="D9" s="432" t="s">
        <v>591</v>
      </c>
      <c r="E9" s="433">
        <v>2.8</v>
      </c>
      <c r="F9" s="433">
        <v>3.1</v>
      </c>
      <c r="G9" s="433">
        <v>2.6</v>
      </c>
      <c r="H9" s="431">
        <f t="shared" si="1"/>
        <v>2.83333333333333</v>
      </c>
      <c r="I9" s="455"/>
      <c r="J9" s="456"/>
      <c r="L9" s="462">
        <f>L5*L8/1000000</f>
        <v>0.424472</v>
      </c>
      <c r="M9" s="462">
        <f>M5*M8/1000000</f>
        <v>0.237114</v>
      </c>
      <c r="N9" s="462">
        <f>N5*N8/1000000</f>
        <v>0.55848</v>
      </c>
      <c r="O9" s="462">
        <f>O5*O8/1000000</f>
        <v>0.343684</v>
      </c>
      <c r="P9" s="458">
        <f t="shared" si="0"/>
        <v>0.3909375</v>
      </c>
    </row>
    <row r="10" ht="18" customHeight="1" spans="1:10">
      <c r="A10" s="432"/>
      <c r="B10" s="432"/>
      <c r="C10" s="432"/>
      <c r="D10" s="432" t="s">
        <v>592</v>
      </c>
      <c r="E10" s="434">
        <f>E9/(21-E3)*(21-J1)</f>
        <v>3.14102564102564</v>
      </c>
      <c r="F10" s="434">
        <f>F9/(21-F3)*(21-J1)</f>
        <v>3.45541401273885</v>
      </c>
      <c r="G10" s="434">
        <f>G9/(21-G3)*(21-J1)</f>
        <v>2.87974683544304</v>
      </c>
      <c r="H10" s="431">
        <f t="shared" si="1"/>
        <v>3.15872882973584</v>
      </c>
      <c r="I10" s="455"/>
      <c r="J10" s="456"/>
    </row>
    <row r="11" ht="18" customHeight="1" spans="1:15">
      <c r="A11" s="432" t="s">
        <v>593</v>
      </c>
      <c r="B11" s="432"/>
      <c r="C11" s="432"/>
      <c r="D11" s="432"/>
      <c r="E11" s="434">
        <f>E9*E7/1000000</f>
        <v>0.0170352</v>
      </c>
      <c r="F11" s="434">
        <f>F9*F7/1000000</f>
        <v>0.0185163</v>
      </c>
      <c r="G11" s="434">
        <f>G9*G7/1000000</f>
        <v>0.0163774</v>
      </c>
      <c r="H11" s="431">
        <f t="shared" si="1"/>
        <v>0.0173096333333333</v>
      </c>
      <c r="I11" s="455"/>
      <c r="J11" s="456"/>
      <c r="L11" s="463" t="s">
        <v>594</v>
      </c>
      <c r="M11" s="464">
        <v>1.7</v>
      </c>
      <c r="N11" s="462" t="s">
        <v>595</v>
      </c>
      <c r="O11" s="462" t="s">
        <v>595</v>
      </c>
    </row>
    <row r="12" ht="18" customHeight="1" spans="1:15">
      <c r="A12" s="435" t="s">
        <v>596</v>
      </c>
      <c r="B12" s="436"/>
      <c r="C12" s="437"/>
      <c r="D12" s="438" t="s">
        <v>591</v>
      </c>
      <c r="E12" s="433" t="s">
        <v>597</v>
      </c>
      <c r="F12" s="433" t="s">
        <v>597</v>
      </c>
      <c r="G12" s="433" t="s">
        <v>597</v>
      </c>
      <c r="H12" s="431" t="e">
        <f t="shared" si="1"/>
        <v>#DIV/0!</v>
      </c>
      <c r="I12" s="455"/>
      <c r="J12" s="456"/>
      <c r="L12" s="465">
        <f>21/(21-E3)</f>
        <v>1.34615384615385</v>
      </c>
      <c r="M12" s="465">
        <f>21/(21-F3)</f>
        <v>1.3375796178344</v>
      </c>
      <c r="N12" s="465">
        <f>21/(21-G3)</f>
        <v>1.32911392405063</v>
      </c>
      <c r="O12" s="457" t="s">
        <v>582</v>
      </c>
    </row>
    <row r="13" ht="18" customHeight="1" spans="1:15">
      <c r="A13" s="439"/>
      <c r="B13" s="440"/>
      <c r="C13" s="441"/>
      <c r="D13" s="438" t="s">
        <v>592</v>
      </c>
      <c r="E13" s="442" t="e">
        <f>E12/(21-E3)*(21-J1)</f>
        <v>#VALUE!</v>
      </c>
      <c r="F13" s="442" t="e">
        <f>F12/(21-F3)*(21-J1)</f>
        <v>#VALUE!</v>
      </c>
      <c r="G13" s="442" t="e">
        <f>G12/(21-G3)*(21-J1)</f>
        <v>#VALUE!</v>
      </c>
      <c r="H13" s="431" t="e">
        <f t="shared" si="1"/>
        <v>#VALUE!</v>
      </c>
      <c r="I13" s="455"/>
      <c r="J13" s="456"/>
      <c r="L13" s="465">
        <f>E15*L12/M11</f>
        <v>91.8552036199095</v>
      </c>
      <c r="M13" s="465">
        <f>F15*M12/M11</f>
        <v>90.4833270887973</v>
      </c>
      <c r="N13" s="465">
        <f>G15*N12/M11</f>
        <v>89.9106478034252</v>
      </c>
      <c r="O13" s="466">
        <f>AVERAGE(L13:N13)</f>
        <v>90.7497261707106</v>
      </c>
    </row>
    <row r="14" ht="18" customHeight="1" spans="1:10">
      <c r="A14" s="438" t="s">
        <v>598</v>
      </c>
      <c r="B14" s="438"/>
      <c r="C14" s="438"/>
      <c r="D14" s="438"/>
      <c r="E14" s="442" t="e">
        <f>E12*E7/1000000</f>
        <v>#VALUE!</v>
      </c>
      <c r="F14" s="442" t="e">
        <f>F12*F7/1000000</f>
        <v>#VALUE!</v>
      </c>
      <c r="G14" s="442" t="e">
        <f>G12*G7/1000000</f>
        <v>#VALUE!</v>
      </c>
      <c r="H14" s="431" t="e">
        <f t="shared" si="1"/>
        <v>#VALUE!</v>
      </c>
      <c r="I14" s="455"/>
      <c r="J14" s="456"/>
    </row>
    <row r="15" ht="18" customHeight="1" spans="1:16">
      <c r="A15" s="443" t="s">
        <v>599</v>
      </c>
      <c r="B15" s="444"/>
      <c r="C15" s="445"/>
      <c r="D15" s="446" t="s">
        <v>591</v>
      </c>
      <c r="E15" s="79">
        <v>116</v>
      </c>
      <c r="F15" s="79">
        <v>115</v>
      </c>
      <c r="G15" s="79">
        <v>115</v>
      </c>
      <c r="H15" s="431">
        <f t="shared" si="1"/>
        <v>115.333333333333</v>
      </c>
      <c r="I15" s="455"/>
      <c r="J15" s="456"/>
      <c r="L15" s="360" t="s">
        <v>600</v>
      </c>
      <c r="M15" s="360"/>
      <c r="N15" s="360"/>
      <c r="O15" s="361" t="s">
        <v>601</v>
      </c>
      <c r="P15" s="361" t="s">
        <v>602</v>
      </c>
    </row>
    <row r="16" ht="18" customHeight="1" spans="1:16">
      <c r="A16" s="447"/>
      <c r="B16" s="448"/>
      <c r="C16" s="449"/>
      <c r="D16" s="446" t="s">
        <v>592</v>
      </c>
      <c r="E16" s="450">
        <f>E15/(21-E3)*(21-J1)</f>
        <v>130.128205128205</v>
      </c>
      <c r="F16" s="451">
        <f>F15/(21-F3)*(21-J1)</f>
        <v>128.184713375796</v>
      </c>
      <c r="G16" s="451">
        <f>G15/(21-G3)*(21-J1)</f>
        <v>127.373417721519</v>
      </c>
      <c r="H16" s="431">
        <f t="shared" si="1"/>
        <v>128.562112075173</v>
      </c>
      <c r="I16" s="455"/>
      <c r="J16" s="456"/>
      <c r="L16" s="362">
        <v>60.85</v>
      </c>
      <c r="M16" s="362">
        <v>60</v>
      </c>
      <c r="N16" s="362">
        <v>61</v>
      </c>
      <c r="O16" s="363">
        <f>(M16-L16)/L16</f>
        <v>-0.0139687756778965</v>
      </c>
      <c r="P16" s="363">
        <f>(N16-L16)/L16</f>
        <v>0.00246507806080524</v>
      </c>
    </row>
    <row r="17" ht="18" customHeight="1" spans="1:16">
      <c r="A17" s="446" t="s">
        <v>603</v>
      </c>
      <c r="B17" s="446"/>
      <c r="C17" s="446"/>
      <c r="D17" s="446"/>
      <c r="E17" s="452">
        <f>E15*E7/1000000</f>
        <v>0.705744</v>
      </c>
      <c r="F17" s="453">
        <f>F15*F7/1000000</f>
        <v>0.686895</v>
      </c>
      <c r="G17" s="452">
        <f>G15*G7/1000000</f>
        <v>0.724385</v>
      </c>
      <c r="H17" s="454">
        <f t="shared" si="1"/>
        <v>0.705674666666667</v>
      </c>
      <c r="I17" s="455"/>
      <c r="J17" s="456"/>
      <c r="L17" s="362">
        <v>60.85</v>
      </c>
      <c r="M17" s="362">
        <v>61</v>
      </c>
      <c r="N17" s="362">
        <v>62</v>
      </c>
      <c r="O17" s="363">
        <f>(M17-L17)/L17</f>
        <v>0.00246507806080524</v>
      </c>
      <c r="P17" s="363">
        <f>(N17-L17)/L17</f>
        <v>0.018898931799507</v>
      </c>
    </row>
    <row r="18" customHeight="1" spans="12:16">
      <c r="L18" s="362">
        <v>50</v>
      </c>
      <c r="M18" s="362">
        <v>50.1</v>
      </c>
      <c r="N18" s="362">
        <v>50.2</v>
      </c>
      <c r="O18" s="363">
        <f>(M18-L18)/L18</f>
        <v>0.00200000000000003</v>
      </c>
      <c r="P18" s="363">
        <f>(N18-L18)/L18</f>
        <v>0.00400000000000006</v>
      </c>
    </row>
    <row r="19" customHeight="1" spans="12:16">
      <c r="L19" s="364">
        <v>26.73</v>
      </c>
      <c r="M19" s="364">
        <v>26.77</v>
      </c>
      <c r="N19" s="364">
        <v>26.76</v>
      </c>
      <c r="O19" s="363">
        <f>(M19-L19)/L19</f>
        <v>0.00149644594089035</v>
      </c>
      <c r="P19" s="363">
        <f>(N19-L19)/L19</f>
        <v>0.00112233445566783</v>
      </c>
    </row>
  </sheetData>
  <sheetProtection sort="0" autoFilter="0"/>
  <mergeCells count="22">
    <mergeCell ref="L1:O1"/>
    <mergeCell ref="A3:D3"/>
    <mergeCell ref="A4:D4"/>
    <mergeCell ref="A5:D5"/>
    <mergeCell ref="A6:D6"/>
    <mergeCell ref="A7:D7"/>
    <mergeCell ref="L7:O7"/>
    <mergeCell ref="A8:D8"/>
    <mergeCell ref="A11:D11"/>
    <mergeCell ref="A14:D14"/>
    <mergeCell ref="L15:N15"/>
    <mergeCell ref="A17:D17"/>
    <mergeCell ref="E1:E2"/>
    <mergeCell ref="F1:F2"/>
    <mergeCell ref="G1:G2"/>
    <mergeCell ref="H1:H2"/>
    <mergeCell ref="I1:I17"/>
    <mergeCell ref="J1:J17"/>
    <mergeCell ref="A1:D2"/>
    <mergeCell ref="A12:C13"/>
    <mergeCell ref="A15:C16"/>
    <mergeCell ref="A9:C10"/>
  </mergeCells>
  <pageMargins left="0.7" right="0.7" top="0.75" bottom="0.75" header="0.3" footer="0.3"/>
  <pageSetup paperSize="1" pageOrder="overThenDown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8"/>
  <sheetViews>
    <sheetView zoomScale="160" zoomScaleNormal="160" topLeftCell="A32" workbookViewId="0">
      <selection activeCell="P20" sqref="P20"/>
    </sheetView>
  </sheetViews>
  <sheetFormatPr defaultColWidth="10.1238095238095" defaultRowHeight="12.75"/>
  <cols>
    <col min="1" max="1" width="17.5809523809524" style="383" customWidth="1"/>
    <col min="2" max="2" width="9.2952380952381" style="384" customWidth="1"/>
    <col min="3" max="3" width="9.6" style="384" customWidth="1"/>
    <col min="4" max="4" width="6.19047619047619" style="384" customWidth="1"/>
    <col min="5" max="5" width="8.01904761904762" style="384" customWidth="1"/>
    <col min="6" max="7" width="7.02857142857143" style="384" customWidth="1"/>
    <col min="8" max="8" width="3.52380952380952" style="385" customWidth="1"/>
    <col min="9" max="9" width="18.6190476190476" style="385" customWidth="1"/>
    <col min="10" max="10" width="9.7047619047619" style="367" customWidth="1"/>
    <col min="11" max="11" width="8.8952380952381" style="367" customWidth="1"/>
    <col min="12" max="12" width="8.75238095238095" style="367" customWidth="1"/>
    <col min="13" max="13" width="12.1809523809524" style="367" customWidth="1"/>
    <col min="14" max="15" width="7.87619047619048" style="367" customWidth="1"/>
    <col min="16" max="16" width="8.96190476190476" style="367" customWidth="1"/>
    <col min="17" max="17" width="15.8571428571429" style="367" customWidth="1"/>
    <col min="18" max="18" width="7.31428571428571" style="367" customWidth="1"/>
    <col min="19" max="19" width="8.96190476190476" style="367" customWidth="1"/>
    <col min="20" max="21" width="7.31428571428571" style="367" customWidth="1"/>
    <col min="22" max="22" width="8.96190476190476" style="367" customWidth="1"/>
    <col min="23" max="23" width="12.8857142857143" style="367" customWidth="1"/>
    <col min="24" max="24" width="9.99047619047619" style="367" customWidth="1"/>
    <col min="25" max="16384" width="10.1238095238095" style="367"/>
  </cols>
  <sheetData>
    <row r="1" s="367" customFormat="1" spans="1:29">
      <c r="A1" s="386" t="s">
        <v>604</v>
      </c>
      <c r="B1" s="387" t="s">
        <v>605</v>
      </c>
      <c r="C1" s="366"/>
      <c r="D1" s="366"/>
      <c r="E1" s="388" t="s">
        <v>606</v>
      </c>
      <c r="F1" s="389"/>
      <c r="G1" s="389"/>
      <c r="I1" s="386" t="s">
        <v>607</v>
      </c>
      <c r="J1" s="387" t="s">
        <v>605</v>
      </c>
      <c r="K1" s="366"/>
      <c r="L1" s="366"/>
      <c r="M1" s="406" t="s">
        <v>608</v>
      </c>
      <c r="N1" s="407"/>
      <c r="O1" s="407"/>
      <c r="P1" s="102"/>
      <c r="Q1" s="415" t="s">
        <v>609</v>
      </c>
      <c r="R1" s="387" t="s">
        <v>605</v>
      </c>
      <c r="S1" s="366"/>
      <c r="T1" s="366"/>
      <c r="U1" s="406" t="s">
        <v>608</v>
      </c>
      <c r="V1" s="407"/>
      <c r="W1" s="407"/>
      <c r="X1" s="102"/>
      <c r="AB1" s="102"/>
      <c r="AC1" s="102"/>
    </row>
    <row r="2" s="367" customFormat="1" spans="1:29">
      <c r="A2" s="390"/>
      <c r="B2" s="366"/>
      <c r="C2" s="366"/>
      <c r="D2" s="366"/>
      <c r="E2" s="391"/>
      <c r="F2" s="392"/>
      <c r="G2" s="392"/>
      <c r="I2" s="390"/>
      <c r="J2" s="366"/>
      <c r="K2" s="366"/>
      <c r="L2" s="366"/>
      <c r="M2" s="408"/>
      <c r="N2" s="409"/>
      <c r="O2" s="409"/>
      <c r="P2" s="102"/>
      <c r="Q2" s="416"/>
      <c r="R2" s="366"/>
      <c r="S2" s="366"/>
      <c r="T2" s="366"/>
      <c r="U2" s="408"/>
      <c r="V2" s="409"/>
      <c r="W2" s="409"/>
      <c r="X2" s="102"/>
      <c r="AB2" s="102"/>
      <c r="AC2" s="102"/>
    </row>
    <row r="3" s="367" customFormat="1" spans="1:29">
      <c r="A3" s="393" t="s">
        <v>610</v>
      </c>
      <c r="B3" s="371" t="s">
        <v>611</v>
      </c>
      <c r="C3" s="371" t="s">
        <v>612</v>
      </c>
      <c r="D3" s="371" t="s">
        <v>613</v>
      </c>
      <c r="E3" s="371" t="s">
        <v>614</v>
      </c>
      <c r="F3" s="371" t="s">
        <v>612</v>
      </c>
      <c r="G3" s="371" t="s">
        <v>613</v>
      </c>
      <c r="I3" s="393" t="s">
        <v>610</v>
      </c>
      <c r="J3" s="371" t="s">
        <v>611</v>
      </c>
      <c r="K3" s="371" t="s">
        <v>612</v>
      </c>
      <c r="L3" s="371" t="s">
        <v>613</v>
      </c>
      <c r="M3" s="371" t="s">
        <v>614</v>
      </c>
      <c r="N3" s="371" t="s">
        <v>612</v>
      </c>
      <c r="O3" s="371" t="s">
        <v>613</v>
      </c>
      <c r="P3" s="102"/>
      <c r="Q3" s="393" t="s">
        <v>610</v>
      </c>
      <c r="R3" s="371" t="s">
        <v>611</v>
      </c>
      <c r="S3" s="371" t="s">
        <v>612</v>
      </c>
      <c r="T3" s="371" t="s">
        <v>613</v>
      </c>
      <c r="U3" s="371" t="s">
        <v>614</v>
      </c>
      <c r="V3" s="371" t="s">
        <v>612</v>
      </c>
      <c r="W3" s="371" t="s">
        <v>613</v>
      </c>
      <c r="X3" s="102"/>
      <c r="Y3" s="102"/>
      <c r="Z3" s="102"/>
      <c r="AA3" s="102"/>
      <c r="AB3" s="102"/>
      <c r="AC3" s="102"/>
    </row>
    <row r="4" s="367" customFormat="1" spans="1:29">
      <c r="A4" s="372">
        <v>1</v>
      </c>
      <c r="B4" s="373">
        <v>14.4</v>
      </c>
      <c r="C4" s="394">
        <v>14.6</v>
      </c>
      <c r="D4" s="395">
        <f>C4-B4</f>
        <v>0.199999999999999</v>
      </c>
      <c r="E4" s="373">
        <v>14.8</v>
      </c>
      <c r="F4" s="394">
        <v>14.6</v>
      </c>
      <c r="G4" s="395">
        <f>F4-E4</f>
        <v>-0.200000000000001</v>
      </c>
      <c r="I4" s="372">
        <v>1</v>
      </c>
      <c r="J4" s="373">
        <v>14.4</v>
      </c>
      <c r="K4" s="394">
        <v>14.6</v>
      </c>
      <c r="L4" s="395">
        <f t="shared" ref="L4:L9" si="0">K4-J4</f>
        <v>0.199999999999999</v>
      </c>
      <c r="M4" s="373">
        <v>14.8</v>
      </c>
      <c r="N4" s="394">
        <v>14.6</v>
      </c>
      <c r="O4" s="410">
        <f t="shared" ref="O4:O9" si="1">N4-M4</f>
        <v>-0.200000000000001</v>
      </c>
      <c r="P4" s="102"/>
      <c r="Q4" s="372">
        <v>1</v>
      </c>
      <c r="R4" s="373">
        <v>4.8</v>
      </c>
      <c r="S4" s="373">
        <v>4.2</v>
      </c>
      <c r="T4" s="417">
        <f>S4-R4</f>
        <v>-0.6</v>
      </c>
      <c r="U4" s="373">
        <v>41.4</v>
      </c>
      <c r="V4" s="373">
        <v>58.5</v>
      </c>
      <c r="W4" s="374">
        <f t="shared" ref="W4:W12" si="2">V4-U4</f>
        <v>17.1</v>
      </c>
      <c r="X4" s="102"/>
      <c r="Y4" s="102"/>
      <c r="Z4" s="102"/>
      <c r="AA4" s="102"/>
      <c r="AB4" s="102"/>
      <c r="AC4" s="102"/>
    </row>
    <row r="5" s="367" customFormat="1" spans="1:29">
      <c r="A5" s="372">
        <v>2</v>
      </c>
      <c r="B5" s="373">
        <v>14.3</v>
      </c>
      <c r="C5" s="394">
        <v>14.6</v>
      </c>
      <c r="D5" s="395">
        <f>C5-B5</f>
        <v>0.299999999999999</v>
      </c>
      <c r="E5" s="373">
        <v>14.8</v>
      </c>
      <c r="F5" s="394">
        <v>14.6</v>
      </c>
      <c r="G5" s="395">
        <f>F5-E5</f>
        <v>-0.200000000000001</v>
      </c>
      <c r="I5" s="372">
        <v>2</v>
      </c>
      <c r="J5" s="373">
        <v>14.3</v>
      </c>
      <c r="K5" s="394">
        <v>14.6</v>
      </c>
      <c r="L5" s="395">
        <f t="shared" si="0"/>
        <v>0.299999999999999</v>
      </c>
      <c r="M5" s="373">
        <v>14.8</v>
      </c>
      <c r="N5" s="394">
        <v>14.6</v>
      </c>
      <c r="O5" s="410">
        <f t="shared" si="1"/>
        <v>-0.200000000000001</v>
      </c>
      <c r="P5" s="102"/>
      <c r="Q5" s="372">
        <v>2</v>
      </c>
      <c r="R5" s="373">
        <v>4.7</v>
      </c>
      <c r="S5" s="373">
        <v>4.1</v>
      </c>
      <c r="T5" s="417">
        <f t="shared" ref="T5:T12" si="3">S5-R5</f>
        <v>-0.600000000000001</v>
      </c>
      <c r="U5" s="373">
        <v>39.6</v>
      </c>
      <c r="V5" s="373">
        <v>73.5</v>
      </c>
      <c r="W5" s="374">
        <f t="shared" si="2"/>
        <v>33.9</v>
      </c>
      <c r="X5" s="102"/>
      <c r="Y5" s="102"/>
      <c r="Z5" s="102"/>
      <c r="AA5" s="102"/>
      <c r="AB5" s="102"/>
      <c r="AC5" s="102"/>
    </row>
    <row r="6" s="367" customFormat="1" spans="1:29">
      <c r="A6" s="372">
        <v>3</v>
      </c>
      <c r="B6" s="373">
        <v>15.1</v>
      </c>
      <c r="C6" s="394">
        <v>14.7</v>
      </c>
      <c r="D6" s="395">
        <f>C6-B6</f>
        <v>-0.4</v>
      </c>
      <c r="E6" s="373">
        <v>14.8</v>
      </c>
      <c r="F6" s="394">
        <v>14.6</v>
      </c>
      <c r="G6" s="395">
        <f>F6-E6</f>
        <v>-0.200000000000001</v>
      </c>
      <c r="I6" s="372">
        <v>3</v>
      </c>
      <c r="J6" s="373">
        <v>15.1</v>
      </c>
      <c r="K6" s="394">
        <v>14.7</v>
      </c>
      <c r="L6" s="395">
        <f t="shared" si="0"/>
        <v>-0.4</v>
      </c>
      <c r="M6" s="373">
        <v>14.8</v>
      </c>
      <c r="N6" s="394">
        <v>14.6</v>
      </c>
      <c r="O6" s="410">
        <f t="shared" si="1"/>
        <v>-0.200000000000001</v>
      </c>
      <c r="P6" s="102"/>
      <c r="Q6" s="372">
        <v>3</v>
      </c>
      <c r="R6" s="373">
        <v>4.4</v>
      </c>
      <c r="S6" s="373">
        <v>3.8</v>
      </c>
      <c r="T6" s="417">
        <f t="shared" si="3"/>
        <v>-0.600000000000001</v>
      </c>
      <c r="U6" s="373">
        <v>41.6</v>
      </c>
      <c r="V6" s="373">
        <v>73.6</v>
      </c>
      <c r="W6" s="374">
        <f t="shared" si="2"/>
        <v>32</v>
      </c>
      <c r="X6" s="102"/>
      <c r="Y6" s="102"/>
      <c r="Z6" s="102"/>
      <c r="AA6" s="102"/>
      <c r="AB6" s="102"/>
      <c r="AC6" s="102"/>
    </row>
    <row r="7" s="367" customFormat="1" spans="1:29">
      <c r="A7" s="372">
        <v>4</v>
      </c>
      <c r="B7" s="373">
        <v>14.3</v>
      </c>
      <c r="C7" s="394">
        <v>14.5</v>
      </c>
      <c r="D7" s="395">
        <f>C7-B7</f>
        <v>0.199999999999999</v>
      </c>
      <c r="E7" s="373">
        <v>14.5</v>
      </c>
      <c r="F7" s="394">
        <v>14.6</v>
      </c>
      <c r="G7" s="395">
        <f>F7-E7</f>
        <v>0.0999999999999996</v>
      </c>
      <c r="I7" s="372">
        <v>4</v>
      </c>
      <c r="J7" s="373">
        <v>14.3</v>
      </c>
      <c r="K7" s="394">
        <v>14.5</v>
      </c>
      <c r="L7" s="395">
        <f t="shared" si="0"/>
        <v>0.199999999999999</v>
      </c>
      <c r="M7" s="373">
        <v>14.5</v>
      </c>
      <c r="N7" s="394">
        <v>14.6</v>
      </c>
      <c r="O7" s="410">
        <f t="shared" si="1"/>
        <v>0.0999999999999996</v>
      </c>
      <c r="P7" s="102"/>
      <c r="Q7" s="372">
        <v>4</v>
      </c>
      <c r="R7" s="373">
        <v>4.5</v>
      </c>
      <c r="S7" s="373">
        <v>4</v>
      </c>
      <c r="T7" s="417">
        <f t="shared" si="3"/>
        <v>-0.5</v>
      </c>
      <c r="U7" s="373">
        <v>83.6</v>
      </c>
      <c r="V7" s="373">
        <v>64.7</v>
      </c>
      <c r="W7" s="374">
        <f t="shared" si="2"/>
        <v>-18.9</v>
      </c>
      <c r="X7" s="102"/>
      <c r="Y7" s="102"/>
      <c r="Z7" s="102"/>
      <c r="AA7" s="102"/>
      <c r="AB7" s="102"/>
      <c r="AC7" s="102"/>
    </row>
    <row r="8" s="367" customFormat="1" spans="1:29">
      <c r="A8" s="372">
        <v>5</v>
      </c>
      <c r="B8" s="373">
        <v>14.9</v>
      </c>
      <c r="C8" s="394">
        <v>14.8</v>
      </c>
      <c r="D8" s="395">
        <f>C8-B8</f>
        <v>-0.0999999999999996</v>
      </c>
      <c r="E8" s="373">
        <v>14.5</v>
      </c>
      <c r="F8" s="394">
        <v>14.6</v>
      </c>
      <c r="G8" s="395">
        <f>F8-E8</f>
        <v>0.0999999999999996</v>
      </c>
      <c r="I8" s="372">
        <v>5</v>
      </c>
      <c r="J8" s="373">
        <v>14.9</v>
      </c>
      <c r="K8" s="394">
        <v>14.8</v>
      </c>
      <c r="L8" s="395">
        <f t="shared" si="0"/>
        <v>-0.0999999999999996</v>
      </c>
      <c r="M8" s="373">
        <v>14.5</v>
      </c>
      <c r="N8" s="394">
        <v>14.6</v>
      </c>
      <c r="O8" s="410">
        <f t="shared" si="1"/>
        <v>0.0999999999999996</v>
      </c>
      <c r="P8" s="102"/>
      <c r="Q8" s="372">
        <v>5</v>
      </c>
      <c r="R8" s="373">
        <v>4.4</v>
      </c>
      <c r="S8" s="373">
        <v>3.9</v>
      </c>
      <c r="T8" s="417">
        <f t="shared" si="3"/>
        <v>-0.5</v>
      </c>
      <c r="U8" s="373">
        <v>8.39</v>
      </c>
      <c r="V8" s="373">
        <v>48.8</v>
      </c>
      <c r="W8" s="374">
        <f t="shared" si="2"/>
        <v>40.41</v>
      </c>
      <c r="X8" s="102"/>
      <c r="Y8" s="102"/>
      <c r="Z8" s="102"/>
      <c r="AA8" s="102"/>
      <c r="AB8" s="102"/>
      <c r="AC8" s="102"/>
    </row>
    <row r="9" s="367" customFormat="1" spans="1:29">
      <c r="A9" s="371" t="s">
        <v>615</v>
      </c>
      <c r="B9" s="376">
        <f t="shared" ref="B9:G9" si="4">AVERAGE(B4:B8)</f>
        <v>14.6</v>
      </c>
      <c r="C9" s="376">
        <f t="shared" si="4"/>
        <v>14.64</v>
      </c>
      <c r="D9" s="376">
        <f t="shared" si="4"/>
        <v>0.0399999999999994</v>
      </c>
      <c r="E9" s="376">
        <f t="shared" si="4"/>
        <v>14.68</v>
      </c>
      <c r="F9" s="376">
        <f t="shared" si="4"/>
        <v>14.6</v>
      </c>
      <c r="G9" s="376">
        <f t="shared" si="4"/>
        <v>-0.0800000000000008</v>
      </c>
      <c r="I9" s="372">
        <v>6</v>
      </c>
      <c r="J9" s="373">
        <v>14.4</v>
      </c>
      <c r="K9" s="394">
        <v>14.7</v>
      </c>
      <c r="L9" s="395">
        <f t="shared" si="0"/>
        <v>0.299999999999999</v>
      </c>
      <c r="M9" s="373">
        <v>14.6</v>
      </c>
      <c r="N9" s="394">
        <v>14.6</v>
      </c>
      <c r="O9" s="410">
        <f t="shared" si="1"/>
        <v>0</v>
      </c>
      <c r="P9" s="102"/>
      <c r="Q9" s="372">
        <v>6</v>
      </c>
      <c r="R9" s="373">
        <v>4.4</v>
      </c>
      <c r="S9" s="373">
        <v>3.8</v>
      </c>
      <c r="T9" s="417">
        <f t="shared" si="3"/>
        <v>-0.600000000000001</v>
      </c>
      <c r="U9" s="373">
        <v>10.6</v>
      </c>
      <c r="V9" s="373">
        <v>23.1</v>
      </c>
      <c r="W9" s="374">
        <f t="shared" si="2"/>
        <v>12.5</v>
      </c>
      <c r="X9" s="102"/>
      <c r="Y9" s="102"/>
      <c r="Z9" s="102"/>
      <c r="AA9" s="102"/>
      <c r="AB9" s="102"/>
      <c r="AC9" s="102"/>
    </row>
    <row r="10" s="367" customFormat="1" spans="1:29">
      <c r="A10" s="396" t="s">
        <v>616</v>
      </c>
      <c r="B10" s="376">
        <f>D9</f>
        <v>0.0399999999999994</v>
      </c>
      <c r="C10" s="376"/>
      <c r="D10" s="376"/>
      <c r="E10" s="376">
        <f>F9-E9</f>
        <v>-0.0800000000000018</v>
      </c>
      <c r="F10" s="376"/>
      <c r="G10" s="376"/>
      <c r="I10" s="371" t="s">
        <v>615</v>
      </c>
      <c r="J10" s="376">
        <f t="shared" ref="J10:O10" si="5">AVERAGE(J4:J9)</f>
        <v>14.5666666666667</v>
      </c>
      <c r="K10" s="376">
        <f t="shared" si="5"/>
        <v>14.65</v>
      </c>
      <c r="L10" s="376">
        <f t="shared" si="5"/>
        <v>0.0833333333333327</v>
      </c>
      <c r="M10" s="376">
        <f t="shared" si="5"/>
        <v>14.6666666666667</v>
      </c>
      <c r="N10" s="376">
        <f t="shared" si="5"/>
        <v>14.6</v>
      </c>
      <c r="O10" s="376">
        <f t="shared" si="5"/>
        <v>-0.0666666666666673</v>
      </c>
      <c r="P10" s="102"/>
      <c r="Q10" s="372">
        <v>7</v>
      </c>
      <c r="R10" s="373">
        <v>4.5</v>
      </c>
      <c r="S10" s="373">
        <v>3.9</v>
      </c>
      <c r="T10" s="417">
        <f t="shared" si="3"/>
        <v>-0.6</v>
      </c>
      <c r="U10" s="373">
        <v>8.09</v>
      </c>
      <c r="V10" s="373">
        <v>17.4</v>
      </c>
      <c r="W10" s="374">
        <f t="shared" si="2"/>
        <v>9.31</v>
      </c>
      <c r="X10" s="102"/>
      <c r="Y10" s="102"/>
      <c r="Z10" s="102"/>
      <c r="AA10" s="102"/>
      <c r="AB10" s="102"/>
      <c r="AC10" s="102"/>
    </row>
    <row r="11" s="367" customFormat="1" spans="1:29">
      <c r="A11" s="397" t="s">
        <v>617</v>
      </c>
      <c r="B11" s="376">
        <f>STDEV(D4:D8)</f>
        <v>0.288097205817758</v>
      </c>
      <c r="C11" s="376"/>
      <c r="D11" s="376"/>
      <c r="E11" s="376">
        <f>STDEV(G4:G8)</f>
        <v>0.16431676725155</v>
      </c>
      <c r="F11" s="376"/>
      <c r="G11" s="376"/>
      <c r="I11" s="396" t="s">
        <v>616</v>
      </c>
      <c r="J11" s="376">
        <f>L10</f>
        <v>0.0833333333333327</v>
      </c>
      <c r="K11" s="376"/>
      <c r="L11" s="376"/>
      <c r="M11" s="376">
        <f>O10</f>
        <v>-0.0666666666666673</v>
      </c>
      <c r="N11" s="376"/>
      <c r="O11" s="376"/>
      <c r="P11" s="102"/>
      <c r="Q11" s="372">
        <v>8</v>
      </c>
      <c r="R11" s="373">
        <v>4.5</v>
      </c>
      <c r="S11" s="373">
        <v>4</v>
      </c>
      <c r="T11" s="417">
        <f t="shared" si="3"/>
        <v>-0.5</v>
      </c>
      <c r="U11" s="373">
        <v>8.82</v>
      </c>
      <c r="V11" s="373">
        <v>18.1</v>
      </c>
      <c r="W11" s="374">
        <f t="shared" si="2"/>
        <v>9.28</v>
      </c>
      <c r="X11" s="102"/>
      <c r="Y11" s="102"/>
      <c r="Z11" s="102"/>
      <c r="AA11" s="102"/>
      <c r="AB11" s="102"/>
      <c r="AC11" s="102"/>
    </row>
    <row r="12" s="375" customFormat="1" spans="1:29">
      <c r="A12" s="398" t="s">
        <v>618</v>
      </c>
      <c r="B12" s="376">
        <f>2.776*B11/SQRT(5)</f>
        <v>0.357662580653889</v>
      </c>
      <c r="C12" s="376"/>
      <c r="D12" s="376"/>
      <c r="E12" s="376">
        <f>2.776*E11/SQRT(5)</f>
        <v>0.203993505778983</v>
      </c>
      <c r="F12" s="376"/>
      <c r="G12" s="376"/>
      <c r="I12" s="397" t="s">
        <v>617</v>
      </c>
      <c r="J12" s="376">
        <f>STDEV(L4:L9)</f>
        <v>0.278687399547713</v>
      </c>
      <c r="K12" s="376"/>
      <c r="L12" s="376"/>
      <c r="M12" s="376">
        <f>STDEV(O4:O9)</f>
        <v>0.150554530541817</v>
      </c>
      <c r="N12" s="376"/>
      <c r="O12" s="376"/>
      <c r="P12" s="102"/>
      <c r="Q12" s="372">
        <v>9</v>
      </c>
      <c r="R12" s="373">
        <v>4.3</v>
      </c>
      <c r="S12" s="373">
        <v>3.8</v>
      </c>
      <c r="T12" s="417">
        <f t="shared" si="3"/>
        <v>-0.5</v>
      </c>
      <c r="U12" s="373">
        <v>8.4</v>
      </c>
      <c r="V12" s="373">
        <v>18.6</v>
      </c>
      <c r="W12" s="374">
        <f t="shared" si="2"/>
        <v>10.2</v>
      </c>
      <c r="X12" s="102"/>
      <c r="Y12" s="102"/>
      <c r="Z12" s="102"/>
      <c r="AA12" s="102"/>
      <c r="AB12" s="102"/>
      <c r="AC12" s="102"/>
    </row>
    <row r="13" s="367" customFormat="1" spans="1:29">
      <c r="A13" s="399" t="s">
        <v>619</v>
      </c>
      <c r="B13" s="378">
        <f>(B12+ABS(D9))/B9</f>
        <v>0.0272371630584855</v>
      </c>
      <c r="C13" s="378"/>
      <c r="D13" s="378"/>
      <c r="E13" s="378">
        <f>(E12+ABS(G9))/E9</f>
        <v>0.0193456066606937</v>
      </c>
      <c r="F13" s="378"/>
      <c r="G13" s="378"/>
      <c r="I13" s="398" t="s">
        <v>620</v>
      </c>
      <c r="J13" s="376">
        <f>2.571*J12/SQRT(6)</f>
        <v>0.292512065563114</v>
      </c>
      <c r="K13" s="376"/>
      <c r="L13" s="376"/>
      <c r="M13" s="376">
        <f>2.571*M12/SQRT(6)</f>
        <v>0.158022991998001</v>
      </c>
      <c r="N13" s="376"/>
      <c r="O13" s="376"/>
      <c r="P13" s="102"/>
      <c r="Q13" s="371" t="s">
        <v>621</v>
      </c>
      <c r="R13" s="376">
        <f t="shared" ref="R13:W13" si="6">AVERAGE(R4:R12)</f>
        <v>4.5</v>
      </c>
      <c r="S13" s="376">
        <f t="shared" si="6"/>
        <v>3.94444444444444</v>
      </c>
      <c r="T13" s="376">
        <f t="shared" si="6"/>
        <v>-0.555555555555556</v>
      </c>
      <c r="U13" s="376">
        <f t="shared" si="6"/>
        <v>27.8333333333333</v>
      </c>
      <c r="V13" s="376">
        <f t="shared" si="6"/>
        <v>44.0333333333333</v>
      </c>
      <c r="W13" s="376">
        <f t="shared" si="6"/>
        <v>16.2</v>
      </c>
      <c r="X13" s="102"/>
      <c r="Y13" s="102"/>
      <c r="Z13" s="102"/>
      <c r="AA13" s="102"/>
      <c r="AB13" s="102"/>
      <c r="AC13" s="102"/>
    </row>
    <row r="14" s="367" customFormat="1" spans="1:29">
      <c r="A14" s="400"/>
      <c r="I14" s="399" t="s">
        <v>619</v>
      </c>
      <c r="J14" s="378">
        <f>(J13+ABS(L10))/J10</f>
        <v>0.025801743631335</v>
      </c>
      <c r="K14" s="378"/>
      <c r="L14" s="378"/>
      <c r="M14" s="378">
        <f>(M13+ABS(O10))/M10</f>
        <v>0.0153197494544091</v>
      </c>
      <c r="N14" s="378"/>
      <c r="O14" s="378"/>
      <c r="P14" s="102"/>
      <c r="Q14" s="371" t="s">
        <v>622</v>
      </c>
      <c r="R14" s="376">
        <f>T13</f>
        <v>-0.555555555555556</v>
      </c>
      <c r="S14" s="376"/>
      <c r="T14" s="376"/>
      <c r="U14" s="376">
        <f>W13</f>
        <v>16.2</v>
      </c>
      <c r="V14" s="376"/>
      <c r="W14" s="376"/>
      <c r="X14" s="102"/>
      <c r="Y14" s="102"/>
      <c r="Z14" s="102"/>
      <c r="AA14" s="102"/>
      <c r="AB14" s="102"/>
      <c r="AC14" s="102"/>
    </row>
    <row r="15" s="367" customFormat="1" spans="9:29">
      <c r="I15" s="102"/>
      <c r="J15" s="102"/>
      <c r="K15" s="102"/>
      <c r="L15" s="102"/>
      <c r="M15" s="102"/>
      <c r="N15" s="102"/>
      <c r="O15" s="102"/>
      <c r="P15" s="102"/>
      <c r="Q15" s="418" t="s">
        <v>623</v>
      </c>
      <c r="R15" s="376">
        <f>STDEV(T4:T12)</f>
        <v>0.0527046276694731</v>
      </c>
      <c r="S15" s="376"/>
      <c r="T15" s="376"/>
      <c r="U15" s="376">
        <f>STDEV(W4:W12)</f>
        <v>17.7726004006167</v>
      </c>
      <c r="V15" s="376"/>
      <c r="W15" s="376"/>
      <c r="X15" s="102"/>
      <c r="Y15" s="102"/>
      <c r="Z15" s="102"/>
      <c r="AA15" s="102"/>
      <c r="AB15" s="102"/>
      <c r="AC15" s="102"/>
    </row>
    <row r="16" s="367" customFormat="1" spans="9:29">
      <c r="I16" s="411" t="s">
        <v>624</v>
      </c>
      <c r="J16" s="411" t="s">
        <v>625</v>
      </c>
      <c r="K16" s="411" t="s">
        <v>626</v>
      </c>
      <c r="L16" s="102"/>
      <c r="M16" s="102"/>
      <c r="N16" s="102"/>
      <c r="O16" s="102"/>
      <c r="P16" s="102"/>
      <c r="Q16" s="397" t="s">
        <v>627</v>
      </c>
      <c r="R16" s="376">
        <f>2.306*R15/SQRT(9)</f>
        <v>0.0405122904686016</v>
      </c>
      <c r="S16" s="376"/>
      <c r="T16" s="376"/>
      <c r="U16" s="376">
        <f>2.306*U15/SQRT(9)</f>
        <v>13.6612055079407</v>
      </c>
      <c r="V16" s="376"/>
      <c r="W16" s="376"/>
      <c r="X16" s="102"/>
      <c r="Y16" s="102"/>
      <c r="Z16" s="102"/>
      <c r="AA16" s="102"/>
      <c r="AB16" s="102"/>
      <c r="AC16" s="102"/>
    </row>
    <row r="17" s="367" customFormat="1" spans="9:29">
      <c r="I17" s="411"/>
      <c r="J17" s="411" t="s">
        <v>628</v>
      </c>
      <c r="K17" s="411" t="s">
        <v>629</v>
      </c>
      <c r="L17" s="102"/>
      <c r="M17" s="102"/>
      <c r="N17" s="102"/>
      <c r="O17" s="102"/>
      <c r="P17" s="102"/>
      <c r="Q17" s="419" t="s">
        <v>630</v>
      </c>
      <c r="R17" s="378">
        <f>(R16+ABS(T13))/R13</f>
        <v>0.132459521338702</v>
      </c>
      <c r="S17" s="378"/>
      <c r="T17" s="378"/>
      <c r="U17" s="378">
        <f>(U16+ABS(W13))/U13</f>
        <v>1.07285768292002</v>
      </c>
      <c r="V17" s="378"/>
      <c r="W17" s="378"/>
      <c r="X17" s="102"/>
      <c r="Y17" s="102"/>
      <c r="Z17" s="102"/>
      <c r="AA17" s="102"/>
      <c r="AB17" s="102"/>
      <c r="AC17" s="102"/>
    </row>
    <row r="18" s="367" customFormat="1" spans="16:29">
      <c r="P18" s="102"/>
      <c r="X18" s="102"/>
      <c r="Y18" s="102"/>
      <c r="Z18" s="102"/>
      <c r="AA18" s="102"/>
      <c r="AB18" s="102"/>
      <c r="AC18" s="102"/>
    </row>
    <row r="19" s="367" customFormat="1" ht="18.75" spans="9:13">
      <c r="I19" s="412" t="s">
        <v>631</v>
      </c>
      <c r="J19" s="412"/>
      <c r="K19" s="412"/>
      <c r="L19" s="413" t="s">
        <v>632</v>
      </c>
      <c r="M19" s="413" t="s">
        <v>633</v>
      </c>
    </row>
    <row r="20" s="367" customFormat="1" ht="18.75" spans="9:13">
      <c r="I20" s="362">
        <v>60.85</v>
      </c>
      <c r="J20" s="362">
        <v>60</v>
      </c>
      <c r="K20" s="362">
        <v>61</v>
      </c>
      <c r="L20" s="414">
        <f>J20/I20-1</f>
        <v>-0.0139687756778964</v>
      </c>
      <c r="M20" s="414">
        <f>K20/I20-1</f>
        <v>0.00246507806080531</v>
      </c>
    </row>
    <row r="21" s="367" customFormat="1" ht="18.75" spans="9:13">
      <c r="I21" s="362">
        <v>60.85</v>
      </c>
      <c r="J21" s="362">
        <v>61</v>
      </c>
      <c r="K21" s="362">
        <v>60</v>
      </c>
      <c r="L21" s="414">
        <f>J21/I21-1</f>
        <v>0.00246507806080531</v>
      </c>
      <c r="M21" s="414">
        <f>K21/I21-1</f>
        <v>-0.0139687756778964</v>
      </c>
    </row>
    <row r="22" s="367" customFormat="1" ht="18.75" spans="9:13">
      <c r="I22" s="362">
        <v>50</v>
      </c>
      <c r="J22" s="362">
        <v>50.1</v>
      </c>
      <c r="K22" s="362">
        <v>50.2</v>
      </c>
      <c r="L22" s="414">
        <f>J22/I22-1</f>
        <v>0.002</v>
      </c>
      <c r="M22" s="414">
        <f>K22/I22-1</f>
        <v>0.004</v>
      </c>
    </row>
    <row r="23" s="367" customFormat="1" ht="18.75" spans="9:13">
      <c r="I23" s="364">
        <v>26.73</v>
      </c>
      <c r="J23" s="364">
        <v>26.77</v>
      </c>
      <c r="K23" s="364">
        <v>26.76</v>
      </c>
      <c r="L23" s="414">
        <f>J23/I23-1</f>
        <v>0.00149644594089038</v>
      </c>
      <c r="M23" s="414">
        <f>K23/I23-1</f>
        <v>0.00112233445566789</v>
      </c>
    </row>
    <row r="24" s="367" customFormat="1" ht="18.75" spans="9:13">
      <c r="I24" s="364">
        <v>26.73</v>
      </c>
      <c r="J24" s="364">
        <v>26.77</v>
      </c>
      <c r="K24" s="364">
        <v>26.76</v>
      </c>
      <c r="L24" s="414">
        <f>J24/I24-1</f>
        <v>0.00149644594089038</v>
      </c>
      <c r="M24" s="414">
        <f>K24/I24-1</f>
        <v>0.00112233445566789</v>
      </c>
    </row>
    <row r="25" s="367" customFormat="1"/>
    <row r="26" s="367" customFormat="1"/>
    <row r="27" s="367" customFormat="1"/>
    <row r="28" s="367" customFormat="1"/>
    <row r="29" s="367" customFormat="1"/>
    <row r="30" s="367" customFormat="1" spans="1:7">
      <c r="A30" s="401" t="s">
        <v>634</v>
      </c>
      <c r="B30" s="402"/>
      <c r="C30" s="402"/>
      <c r="D30" s="402"/>
      <c r="E30" s="402"/>
      <c r="F30" s="402"/>
      <c r="G30" s="403"/>
    </row>
    <row r="31" s="367" customFormat="1" spans="1:7">
      <c r="A31" s="404" t="s">
        <v>635</v>
      </c>
      <c r="B31" s="404">
        <v>4</v>
      </c>
      <c r="C31" s="404">
        <v>11</v>
      </c>
      <c r="D31" s="404">
        <v>12</v>
      </c>
      <c r="E31" s="404">
        <v>13</v>
      </c>
      <c r="F31" s="404">
        <v>14</v>
      </c>
      <c r="G31" s="404">
        <v>15</v>
      </c>
    </row>
    <row r="32" s="367" customFormat="1" spans="1:7">
      <c r="A32" s="405" t="s">
        <v>636</v>
      </c>
      <c r="B32" s="404">
        <v>2.776</v>
      </c>
      <c r="C32" s="404">
        <v>2.201</v>
      </c>
      <c r="D32" s="404">
        <v>1.179</v>
      </c>
      <c r="E32" s="404">
        <v>2.16</v>
      </c>
      <c r="F32" s="404">
        <v>2.145</v>
      </c>
      <c r="G32" s="404">
        <v>2.131</v>
      </c>
    </row>
    <row r="33" s="367" customFormat="1"/>
    <row r="34" s="367" customFormat="1"/>
    <row r="35" s="367" customFormat="1"/>
    <row r="36" s="367" customFormat="1"/>
    <row r="37" s="367" customFormat="1"/>
    <row r="38" s="367" customFormat="1" spans="22:22">
      <c r="V38" s="420"/>
    </row>
    <row r="39" s="367" customFormat="1" spans="22:22">
      <c r="V39" s="420"/>
    </row>
    <row r="40" s="367" customFormat="1" spans="22:22">
      <c r="V40" s="420"/>
    </row>
    <row r="41" s="367" customFormat="1" spans="22:22">
      <c r="V41" s="420"/>
    </row>
    <row r="42" s="367" customFormat="1" spans="22:22">
      <c r="V42" s="420"/>
    </row>
    <row r="43" s="367" customFormat="1" spans="22:22">
      <c r="V43" s="420"/>
    </row>
    <row r="44" s="367" customFormat="1" spans="22:22">
      <c r="V44" s="420"/>
    </row>
    <row r="45" s="367" customFormat="1" spans="22:22">
      <c r="V45" s="420"/>
    </row>
    <row r="46" s="367" customFormat="1" spans="22:22">
      <c r="V46" s="420"/>
    </row>
    <row r="47" s="367" customFormat="1" spans="22:22">
      <c r="V47" s="420"/>
    </row>
    <row r="48" s="367" customFormat="1" spans="22:22">
      <c r="V48" s="420"/>
    </row>
    <row r="49" s="367" customFormat="1" spans="22:22">
      <c r="V49" s="420"/>
    </row>
    <row r="50" s="367" customFormat="1" spans="1:22">
      <c r="A50" s="400"/>
      <c r="V50" s="420"/>
    </row>
    <row r="51" s="367" customFormat="1" spans="1:22">
      <c r="A51" s="400"/>
      <c r="V51" s="420"/>
    </row>
    <row r="52" s="367" customFormat="1" spans="22:22">
      <c r="V52" s="420"/>
    </row>
    <row r="53" s="367" customFormat="1"/>
    <row r="54" s="367" customFormat="1"/>
    <row r="55" s="367" customFormat="1" spans="1:1">
      <c r="A55" s="400"/>
    </row>
    <row r="56" s="367" customFormat="1" spans="1:1">
      <c r="A56" s="400"/>
    </row>
    <row r="57" s="367" customFormat="1" spans="1:1">
      <c r="A57" s="400"/>
    </row>
    <row r="58" s="367" customFormat="1" spans="1:1">
      <c r="A58" s="400"/>
    </row>
    <row r="59" s="367" customFormat="1" spans="1:1">
      <c r="A59" s="400"/>
    </row>
    <row r="60" s="367" customFormat="1" spans="1:1">
      <c r="A60" s="400"/>
    </row>
    <row r="61" s="367" customFormat="1" spans="1:1">
      <c r="A61" s="400"/>
    </row>
    <row r="62" s="367" customFormat="1" spans="1:1">
      <c r="A62" s="400"/>
    </row>
    <row r="63" s="367" customFormat="1" spans="1:1">
      <c r="A63" s="400"/>
    </row>
    <row r="64" s="367" customFormat="1" spans="1:1">
      <c r="A64" s="400"/>
    </row>
    <row r="65" s="367" customFormat="1" spans="1:1">
      <c r="A65" s="400"/>
    </row>
    <row r="66" s="367" customFormat="1" spans="1:1">
      <c r="A66" s="400"/>
    </row>
    <row r="67" s="367" customFormat="1" spans="1:1">
      <c r="A67" s="400"/>
    </row>
    <row r="68" s="367" customFormat="1" spans="1:1">
      <c r="A68" s="400"/>
    </row>
    <row r="69" s="367" customFormat="1" spans="1:1">
      <c r="A69" s="400"/>
    </row>
    <row r="70" s="367" customFormat="1" spans="1:1">
      <c r="A70" s="400"/>
    </row>
    <row r="71" s="367" customFormat="1" spans="1:1">
      <c r="A71" s="400"/>
    </row>
    <row r="72" s="367" customFormat="1" spans="1:1">
      <c r="A72" s="400"/>
    </row>
    <row r="73" s="367" customFormat="1" spans="1:1">
      <c r="A73" s="400"/>
    </row>
    <row r="74" s="367" customFormat="1" spans="1:1">
      <c r="A74" s="400"/>
    </row>
    <row r="75" s="367" customFormat="1" spans="1:1">
      <c r="A75" s="400"/>
    </row>
    <row r="76" s="367" customFormat="1" spans="1:7">
      <c r="A76" s="383"/>
      <c r="B76" s="384"/>
      <c r="C76" s="384"/>
      <c r="D76" s="384"/>
      <c r="E76" s="384"/>
      <c r="F76" s="384"/>
      <c r="G76" s="384"/>
    </row>
    <row r="77" s="367" customFormat="1" spans="1:9">
      <c r="A77" s="383"/>
      <c r="B77" s="384"/>
      <c r="C77" s="384"/>
      <c r="D77" s="384"/>
      <c r="E77" s="384"/>
      <c r="F77" s="384"/>
      <c r="G77" s="384"/>
      <c r="I77" s="385"/>
    </row>
    <row r="78" s="367" customFormat="1" spans="1:9">
      <c r="A78" s="383"/>
      <c r="B78" s="384"/>
      <c r="C78" s="384"/>
      <c r="D78" s="384"/>
      <c r="E78" s="384"/>
      <c r="F78" s="384"/>
      <c r="G78" s="384"/>
      <c r="I78" s="385"/>
    </row>
  </sheetData>
  <mergeCells count="35">
    <mergeCell ref="B10:D10"/>
    <mergeCell ref="E10:G10"/>
    <mergeCell ref="B11:D11"/>
    <mergeCell ref="E11:G11"/>
    <mergeCell ref="J11:L11"/>
    <mergeCell ref="M11:O11"/>
    <mergeCell ref="B12:D12"/>
    <mergeCell ref="E12:G12"/>
    <mergeCell ref="J12:L12"/>
    <mergeCell ref="M12:O12"/>
    <mergeCell ref="B13:D13"/>
    <mergeCell ref="E13:G13"/>
    <mergeCell ref="J13:L13"/>
    <mergeCell ref="M13:O13"/>
    <mergeCell ref="J14:L14"/>
    <mergeCell ref="M14:O14"/>
    <mergeCell ref="R14:T14"/>
    <mergeCell ref="U14:W14"/>
    <mergeCell ref="R15:T15"/>
    <mergeCell ref="U15:W15"/>
    <mergeCell ref="R16:T16"/>
    <mergeCell ref="U16:W16"/>
    <mergeCell ref="R17:T17"/>
    <mergeCell ref="U17:W17"/>
    <mergeCell ref="A30:G30"/>
    <mergeCell ref="A1:A2"/>
    <mergeCell ref="I1:I2"/>
    <mergeCell ref="I16:I17"/>
    <mergeCell ref="Q1:Q2"/>
    <mergeCell ref="B1:D2"/>
    <mergeCell ref="E1:G2"/>
    <mergeCell ref="J1:L2"/>
    <mergeCell ref="M1:O2"/>
    <mergeCell ref="R1:T2"/>
    <mergeCell ref="U1:W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zoomScale="220" zoomScaleNormal="220" workbookViewId="0">
      <selection activeCell="P13" sqref="P13"/>
    </sheetView>
  </sheetViews>
  <sheetFormatPr defaultColWidth="9" defaultRowHeight="12"/>
  <cols>
    <col min="1" max="1" width="10.1047619047619" customWidth="1"/>
    <col min="2" max="2" width="12.8761904761905"/>
    <col min="12" max="12" width="10.2857142857143" customWidth="1"/>
    <col min="13" max="13" width="9.93333333333333" customWidth="1"/>
  </cols>
  <sheetData>
    <row r="1" ht="12.75" spans="1:15">
      <c r="A1" s="365" t="s">
        <v>637</v>
      </c>
      <c r="B1" s="366" t="s">
        <v>638</v>
      </c>
      <c r="C1" s="366"/>
      <c r="D1" s="366"/>
      <c r="E1" s="366" t="s">
        <v>639</v>
      </c>
      <c r="F1" s="366"/>
      <c r="G1" s="366"/>
      <c r="H1" s="367"/>
      <c r="I1" s="379" t="s">
        <v>640</v>
      </c>
      <c r="J1" s="380" t="s">
        <v>641</v>
      </c>
      <c r="K1" s="379" t="s">
        <v>642</v>
      </c>
      <c r="O1" s="367"/>
    </row>
    <row r="2" ht="12.75" spans="1:15">
      <c r="A2" s="368"/>
      <c r="B2" s="366"/>
      <c r="C2" s="366"/>
      <c r="D2" s="366"/>
      <c r="E2" s="366"/>
      <c r="F2" s="366"/>
      <c r="G2" s="366"/>
      <c r="H2" s="367"/>
      <c r="I2" s="379"/>
      <c r="J2" s="379" t="s">
        <v>643</v>
      </c>
      <c r="K2" s="379" t="s">
        <v>644</v>
      </c>
      <c r="O2" s="367"/>
    </row>
    <row r="3" ht="12.75" spans="1:15">
      <c r="A3" s="369" t="s">
        <v>645</v>
      </c>
      <c r="B3" s="370" t="s">
        <v>646</v>
      </c>
      <c r="C3" s="371" t="s">
        <v>612</v>
      </c>
      <c r="D3" s="370" t="s">
        <v>647</v>
      </c>
      <c r="E3" s="370" t="s">
        <v>646</v>
      </c>
      <c r="F3" s="371" t="s">
        <v>612</v>
      </c>
      <c r="G3" s="370" t="s">
        <v>647</v>
      </c>
      <c r="H3" s="367"/>
      <c r="I3" s="379"/>
      <c r="J3" s="379" t="s">
        <v>648</v>
      </c>
      <c r="K3" s="379" t="s">
        <v>649</v>
      </c>
      <c r="O3" s="367"/>
    </row>
    <row r="4" ht="12.75" spans="1:15">
      <c r="A4" s="372">
        <v>1</v>
      </c>
      <c r="B4" s="373">
        <v>3.6</v>
      </c>
      <c r="C4" s="373">
        <v>3.5</v>
      </c>
      <c r="D4" s="374">
        <f t="shared" ref="D4:D12" si="0">C4-B4</f>
        <v>-0.1</v>
      </c>
      <c r="E4" s="373">
        <v>20.9</v>
      </c>
      <c r="F4" s="373">
        <v>20.2</v>
      </c>
      <c r="G4" s="374">
        <f t="shared" ref="G4:G12" si="1">F4-E4</f>
        <v>-0.699999999999999</v>
      </c>
      <c r="H4" s="367"/>
      <c r="I4" s="379"/>
      <c r="J4" s="379" t="s">
        <v>650</v>
      </c>
      <c r="K4" s="379" t="s">
        <v>626</v>
      </c>
      <c r="O4" s="367"/>
    </row>
    <row r="5" ht="12.75" spans="1:15">
      <c r="A5" s="372">
        <v>2</v>
      </c>
      <c r="B5" s="373">
        <v>3.8</v>
      </c>
      <c r="C5" s="373">
        <v>3.7</v>
      </c>
      <c r="D5" s="374">
        <f t="shared" si="0"/>
        <v>-0.0999999999999996</v>
      </c>
      <c r="E5" s="373">
        <v>20.9</v>
      </c>
      <c r="F5" s="373">
        <v>19.7</v>
      </c>
      <c r="G5" s="374">
        <f t="shared" si="1"/>
        <v>-1.2</v>
      </c>
      <c r="H5" s="367"/>
      <c r="I5" s="379" t="s">
        <v>651</v>
      </c>
      <c r="J5" s="380" t="s">
        <v>652</v>
      </c>
      <c r="K5" s="379" t="s">
        <v>653</v>
      </c>
      <c r="O5" s="367"/>
    </row>
    <row r="6" ht="12.75" spans="1:15">
      <c r="A6" s="372">
        <v>3</v>
      </c>
      <c r="B6" s="373">
        <v>3.9</v>
      </c>
      <c r="C6" s="373">
        <v>3.9</v>
      </c>
      <c r="D6" s="374">
        <f t="shared" si="0"/>
        <v>0</v>
      </c>
      <c r="E6" s="373">
        <v>21</v>
      </c>
      <c r="F6" s="373">
        <v>20.2</v>
      </c>
      <c r="G6" s="374">
        <f t="shared" si="1"/>
        <v>-0.800000000000001</v>
      </c>
      <c r="H6" s="367"/>
      <c r="I6" s="379"/>
      <c r="J6" s="379" t="s">
        <v>654</v>
      </c>
      <c r="K6" s="379" t="s">
        <v>644</v>
      </c>
      <c r="O6" s="367"/>
    </row>
    <row r="7" ht="12.75" spans="1:15">
      <c r="A7" s="372">
        <v>4</v>
      </c>
      <c r="B7" s="373">
        <v>3.8</v>
      </c>
      <c r="C7" s="373">
        <v>3.8</v>
      </c>
      <c r="D7" s="374">
        <f t="shared" si="0"/>
        <v>0</v>
      </c>
      <c r="E7" s="373">
        <v>21</v>
      </c>
      <c r="F7" s="373">
        <v>20.2</v>
      </c>
      <c r="G7" s="374">
        <f t="shared" si="1"/>
        <v>-0.800000000000001</v>
      </c>
      <c r="H7" s="367"/>
      <c r="I7" s="379"/>
      <c r="J7" s="379" t="s">
        <v>655</v>
      </c>
      <c r="K7" s="379" t="s">
        <v>656</v>
      </c>
      <c r="O7" s="367"/>
    </row>
    <row r="8" ht="12.75" spans="1:15">
      <c r="A8" s="372">
        <v>5</v>
      </c>
      <c r="B8" s="373">
        <v>3.6</v>
      </c>
      <c r="C8" s="373">
        <v>3.6</v>
      </c>
      <c r="D8" s="374">
        <f t="shared" si="0"/>
        <v>0</v>
      </c>
      <c r="E8" s="373">
        <v>21</v>
      </c>
      <c r="F8" s="373">
        <v>20.2</v>
      </c>
      <c r="G8" s="374">
        <f t="shared" si="1"/>
        <v>-0.800000000000001</v>
      </c>
      <c r="H8" s="367"/>
      <c r="I8" s="379"/>
      <c r="J8" s="379" t="s">
        <v>657</v>
      </c>
      <c r="K8" s="379" t="s">
        <v>626</v>
      </c>
      <c r="O8" s="367"/>
    </row>
    <row r="9" ht="12.75" spans="1:15">
      <c r="A9" s="372">
        <v>6</v>
      </c>
      <c r="B9" s="373">
        <v>3.6</v>
      </c>
      <c r="C9" s="373">
        <v>3.5</v>
      </c>
      <c r="D9" s="374">
        <f t="shared" si="0"/>
        <v>-0.1</v>
      </c>
      <c r="E9" s="373">
        <v>21.1</v>
      </c>
      <c r="F9" s="373">
        <v>20.2</v>
      </c>
      <c r="G9" s="374">
        <f t="shared" si="1"/>
        <v>-0.900000000000002</v>
      </c>
      <c r="H9" s="367"/>
      <c r="L9" s="381"/>
      <c r="M9" s="381"/>
      <c r="N9" s="381"/>
      <c r="O9" s="367"/>
    </row>
    <row r="10" ht="18.75" spans="1:15">
      <c r="A10" s="372">
        <v>7</v>
      </c>
      <c r="B10" s="373"/>
      <c r="C10" s="373"/>
      <c r="D10" s="374"/>
      <c r="E10" s="373"/>
      <c r="F10" s="373"/>
      <c r="G10" s="374"/>
      <c r="H10" s="367"/>
      <c r="I10" s="360" t="s">
        <v>600</v>
      </c>
      <c r="J10" s="360"/>
      <c r="K10" s="360"/>
      <c r="L10" s="361" t="s">
        <v>601</v>
      </c>
      <c r="M10" s="361" t="s">
        <v>602</v>
      </c>
      <c r="N10" s="381"/>
      <c r="O10" s="367"/>
    </row>
    <row r="11" ht="18.75" spans="1:15">
      <c r="A11" s="372">
        <v>8</v>
      </c>
      <c r="B11" s="373"/>
      <c r="C11" s="373"/>
      <c r="D11" s="374"/>
      <c r="E11" s="373"/>
      <c r="F11" s="373"/>
      <c r="G11" s="374"/>
      <c r="H11" s="367"/>
      <c r="I11" s="362">
        <v>60.85</v>
      </c>
      <c r="J11" s="362">
        <v>60</v>
      </c>
      <c r="K11" s="362">
        <v>61</v>
      </c>
      <c r="L11" s="363">
        <f t="shared" ref="L11:L14" si="2">(J11-I11)/I11</f>
        <v>-0.0139687756778965</v>
      </c>
      <c r="M11" s="363">
        <f t="shared" ref="M11:M14" si="3">(K11-I11)/I11</f>
        <v>0.00246507806080524</v>
      </c>
      <c r="N11" s="381"/>
      <c r="O11" s="367"/>
    </row>
    <row r="12" ht="18.75" spans="1:15">
      <c r="A12" s="372">
        <v>9</v>
      </c>
      <c r="B12" s="373"/>
      <c r="C12" s="373"/>
      <c r="D12" s="374"/>
      <c r="E12" s="373"/>
      <c r="F12" s="373"/>
      <c r="G12" s="374"/>
      <c r="H12" s="375"/>
      <c r="I12" s="362">
        <v>60.85</v>
      </c>
      <c r="J12" s="362">
        <v>61</v>
      </c>
      <c r="K12" s="362">
        <v>60</v>
      </c>
      <c r="L12" s="363">
        <f t="shared" si="2"/>
        <v>0.00246507806080524</v>
      </c>
      <c r="M12" s="363">
        <f t="shared" si="3"/>
        <v>-0.0139687756778965</v>
      </c>
      <c r="N12" s="382"/>
      <c r="O12" s="375"/>
    </row>
    <row r="13" ht="18.75" spans="1:15">
      <c r="A13" s="370" t="s">
        <v>579</v>
      </c>
      <c r="B13" s="376">
        <f t="shared" ref="B13:G13" si="4">AVERAGE(B4:B12)</f>
        <v>3.71666666666667</v>
      </c>
      <c r="C13" s="376">
        <f t="shared" si="4"/>
        <v>3.66666666666667</v>
      </c>
      <c r="D13" s="376">
        <f t="shared" si="4"/>
        <v>-0.05</v>
      </c>
      <c r="E13" s="376">
        <f t="shared" si="4"/>
        <v>20.9833333333333</v>
      </c>
      <c r="F13" s="376">
        <f t="shared" si="4"/>
        <v>20.1166666666667</v>
      </c>
      <c r="G13" s="377">
        <f t="shared" si="4"/>
        <v>-0.866666666666667</v>
      </c>
      <c r="H13" s="367"/>
      <c r="I13" s="362">
        <v>50</v>
      </c>
      <c r="J13" s="362">
        <v>50.1</v>
      </c>
      <c r="K13" s="362">
        <v>50.2</v>
      </c>
      <c r="L13" s="363">
        <f t="shared" si="2"/>
        <v>0.00200000000000003</v>
      </c>
      <c r="M13" s="363">
        <f t="shared" si="3"/>
        <v>0.00400000000000006</v>
      </c>
      <c r="N13" s="381"/>
      <c r="O13" s="367"/>
    </row>
    <row r="14" ht="18.75" spans="1:15">
      <c r="A14" s="370" t="s">
        <v>658</v>
      </c>
      <c r="B14" s="376">
        <f>D13</f>
        <v>-0.05</v>
      </c>
      <c r="C14" s="376"/>
      <c r="D14" s="376"/>
      <c r="E14" s="376">
        <f>G13</f>
        <v>-0.866666666666667</v>
      </c>
      <c r="F14" s="376"/>
      <c r="G14" s="376"/>
      <c r="H14" s="367"/>
      <c r="I14" s="364">
        <v>26.73</v>
      </c>
      <c r="J14" s="364">
        <v>26.77</v>
      </c>
      <c r="K14" s="364">
        <v>26.76</v>
      </c>
      <c r="L14" s="363">
        <f t="shared" si="2"/>
        <v>0.00149644594089035</v>
      </c>
      <c r="M14" s="363">
        <f t="shared" si="3"/>
        <v>0.00112233445566783</v>
      </c>
      <c r="N14" s="381"/>
      <c r="O14" s="367"/>
    </row>
    <row r="15" ht="12.75" spans="1:15">
      <c r="A15" s="370" t="s">
        <v>659</v>
      </c>
      <c r="B15" s="378">
        <f>B14/B13</f>
        <v>-0.0134529147982063</v>
      </c>
      <c r="C15" s="378"/>
      <c r="D15" s="378"/>
      <c r="E15" s="378">
        <f>E14/E13</f>
        <v>-0.0413026211278794</v>
      </c>
      <c r="F15" s="378"/>
      <c r="G15" s="378"/>
      <c r="H15" s="367"/>
      <c r="I15" s="367"/>
      <c r="J15" s="367"/>
      <c r="K15" s="367"/>
      <c r="L15" s="367"/>
      <c r="M15" s="367"/>
      <c r="N15" s="367"/>
      <c r="O15" s="367"/>
    </row>
  </sheetData>
  <mergeCells count="10">
    <mergeCell ref="I10:K10"/>
    <mergeCell ref="B14:D14"/>
    <mergeCell ref="E14:G14"/>
    <mergeCell ref="B15:D15"/>
    <mergeCell ref="E15:G15"/>
    <mergeCell ref="A1:A2"/>
    <mergeCell ref="I1:I4"/>
    <mergeCell ref="I5:I8"/>
    <mergeCell ref="B1:D2"/>
    <mergeCell ref="E1:G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zoomScale="145" zoomScaleNormal="145" workbookViewId="0">
      <selection activeCell="P12" sqref="P12"/>
    </sheetView>
  </sheetViews>
  <sheetFormatPr defaultColWidth="9" defaultRowHeight="16.5" customHeight="1"/>
  <cols>
    <col min="1" max="1" width="26.8952380952381" customWidth="1"/>
    <col min="2" max="2" width="14.647619047619" style="332" customWidth="1"/>
    <col min="3" max="3" width="23.0095238095238" customWidth="1"/>
    <col min="4" max="10" width="12.6857142857143" customWidth="1"/>
    <col min="11" max="11" width="16.6285714285714" customWidth="1"/>
    <col min="12" max="12" width="16.5333333333333" customWidth="1"/>
    <col min="13" max="13" width="13.9619047619048" customWidth="1"/>
    <col min="15" max="16" width="12.4" customWidth="1"/>
  </cols>
  <sheetData>
    <row r="1" ht="14.25" customHeight="1" spans="1:14">
      <c r="A1" s="333" t="s">
        <v>660</v>
      </c>
      <c r="B1" s="334" t="s">
        <v>646</v>
      </c>
      <c r="C1" s="333"/>
      <c r="D1" s="333"/>
      <c r="E1" s="333"/>
      <c r="F1" s="333"/>
      <c r="G1" s="333" t="s">
        <v>661</v>
      </c>
      <c r="H1" s="333"/>
      <c r="I1" s="333"/>
      <c r="J1" s="333"/>
      <c r="L1" s="354" t="s">
        <v>662</v>
      </c>
      <c r="M1" s="355" t="s">
        <v>663</v>
      </c>
      <c r="N1" s="355" t="s">
        <v>664</v>
      </c>
    </row>
    <row r="2" ht="19" customHeight="1" spans="1:14">
      <c r="A2" s="333"/>
      <c r="B2" s="334" t="s">
        <v>645</v>
      </c>
      <c r="C2" s="334" t="s">
        <v>665</v>
      </c>
      <c r="D2" s="334" t="s">
        <v>666</v>
      </c>
      <c r="E2" s="334" t="s">
        <v>667</v>
      </c>
      <c r="F2" s="334" t="s">
        <v>668</v>
      </c>
      <c r="G2" s="334" t="s">
        <v>665</v>
      </c>
      <c r="H2" s="334" t="s">
        <v>666</v>
      </c>
      <c r="I2" s="334" t="s">
        <v>667</v>
      </c>
      <c r="J2" s="334" t="s">
        <v>668</v>
      </c>
      <c r="L2" s="355"/>
      <c r="M2" s="354" t="s">
        <v>669</v>
      </c>
      <c r="N2" s="355" t="s">
        <v>670</v>
      </c>
    </row>
    <row r="3" customHeight="1" spans="1:14">
      <c r="A3" s="333"/>
      <c r="B3" s="333"/>
      <c r="C3" s="333" t="s">
        <v>671</v>
      </c>
      <c r="D3" s="333" t="s">
        <v>672</v>
      </c>
      <c r="E3" s="333" t="s">
        <v>673</v>
      </c>
      <c r="F3" s="333" t="s">
        <v>674</v>
      </c>
      <c r="G3" s="333" t="s">
        <v>671</v>
      </c>
      <c r="H3" s="333" t="s">
        <v>672</v>
      </c>
      <c r="I3" s="333" t="s">
        <v>673</v>
      </c>
      <c r="J3" s="333" t="s">
        <v>674</v>
      </c>
      <c r="L3" s="355"/>
      <c r="M3" s="355" t="s">
        <v>675</v>
      </c>
      <c r="N3" s="355" t="s">
        <v>644</v>
      </c>
    </row>
    <row r="4" ht="14.25" customHeight="1" spans="1:14">
      <c r="A4" s="333" t="s">
        <v>676</v>
      </c>
      <c r="B4" s="333">
        <v>1</v>
      </c>
      <c r="C4" s="335">
        <v>8.1</v>
      </c>
      <c r="D4" s="336">
        <v>8.6</v>
      </c>
      <c r="E4" s="336">
        <v>75.8</v>
      </c>
      <c r="F4" s="336">
        <v>2</v>
      </c>
      <c r="G4" s="336">
        <v>10.79</v>
      </c>
      <c r="H4" s="336">
        <v>8.5</v>
      </c>
      <c r="I4" s="336">
        <v>73.2</v>
      </c>
      <c r="J4" s="336">
        <v>1.9</v>
      </c>
      <c r="L4" s="355"/>
      <c r="M4" s="355" t="s">
        <v>677</v>
      </c>
      <c r="N4" s="355" t="s">
        <v>678</v>
      </c>
    </row>
    <row r="5" ht="14.25" customHeight="1" spans="1:14">
      <c r="A5" s="333" t="s">
        <v>679</v>
      </c>
      <c r="B5" s="333">
        <v>2</v>
      </c>
      <c r="C5" s="337">
        <v>8.2</v>
      </c>
      <c r="D5" s="338">
        <v>8.7</v>
      </c>
      <c r="E5" s="338">
        <v>77.1</v>
      </c>
      <c r="F5" s="338">
        <v>2</v>
      </c>
      <c r="G5" s="338">
        <v>11.43</v>
      </c>
      <c r="H5" s="338">
        <v>8.5</v>
      </c>
      <c r="I5" s="338">
        <v>78.4</v>
      </c>
      <c r="J5" s="338">
        <v>1.9</v>
      </c>
      <c r="L5" s="355"/>
      <c r="M5" s="354" t="s">
        <v>680</v>
      </c>
      <c r="N5" s="355" t="s">
        <v>681</v>
      </c>
    </row>
    <row r="6" ht="15.75" customHeight="1" spans="1:14">
      <c r="A6" s="333" t="s">
        <v>682</v>
      </c>
      <c r="B6" s="333">
        <v>3</v>
      </c>
      <c r="C6" s="337">
        <v>7.9</v>
      </c>
      <c r="D6" s="338">
        <v>8.8</v>
      </c>
      <c r="E6" s="338">
        <v>79.4</v>
      </c>
      <c r="F6" s="338">
        <v>2</v>
      </c>
      <c r="G6" s="338">
        <v>11.57</v>
      </c>
      <c r="H6" s="338">
        <v>8.9</v>
      </c>
      <c r="I6" s="338">
        <v>81.4</v>
      </c>
      <c r="J6" s="338">
        <v>2.1</v>
      </c>
      <c r="L6" s="355"/>
      <c r="M6" s="354" t="s">
        <v>683</v>
      </c>
      <c r="N6" s="355" t="s">
        <v>684</v>
      </c>
    </row>
    <row r="7" ht="14.25" customHeight="1" spans="1:14">
      <c r="A7" s="333" t="s">
        <v>685</v>
      </c>
      <c r="B7" s="333">
        <v>4</v>
      </c>
      <c r="C7" s="339"/>
      <c r="D7" s="340"/>
      <c r="E7" s="340"/>
      <c r="F7" s="340"/>
      <c r="G7" s="340"/>
      <c r="H7" s="340"/>
      <c r="I7" s="340"/>
      <c r="J7" s="340"/>
      <c r="L7" s="356" t="s">
        <v>624</v>
      </c>
      <c r="M7" s="357" t="s">
        <v>625</v>
      </c>
      <c r="N7" s="356" t="s">
        <v>626</v>
      </c>
    </row>
    <row r="8" ht="14.25" customHeight="1" spans="1:14">
      <c r="A8" s="333" t="s">
        <v>686</v>
      </c>
      <c r="B8" s="333">
        <v>5</v>
      </c>
      <c r="C8" s="339"/>
      <c r="D8" s="340"/>
      <c r="E8" s="340"/>
      <c r="F8" s="340"/>
      <c r="G8" s="340"/>
      <c r="H8" s="340"/>
      <c r="I8" s="340"/>
      <c r="J8" s="340"/>
      <c r="L8" s="356"/>
      <c r="M8" s="356" t="s">
        <v>628</v>
      </c>
      <c r="N8" s="356" t="s">
        <v>629</v>
      </c>
    </row>
    <row r="9" customHeight="1" spans="1:14">
      <c r="A9" s="334" t="s">
        <v>687</v>
      </c>
      <c r="B9" s="333"/>
      <c r="C9" s="333"/>
      <c r="D9" s="341">
        <f>AVERAGE(C4:C8)</f>
        <v>8.06666666666666</v>
      </c>
      <c r="E9" s="341"/>
      <c r="F9" s="341"/>
      <c r="G9" s="341">
        <f>AVERAGE(G4:G8)</f>
        <v>11.2633333333333</v>
      </c>
      <c r="H9" s="341"/>
      <c r="I9" s="341"/>
      <c r="J9" s="341"/>
      <c r="L9" s="357" t="s">
        <v>688</v>
      </c>
      <c r="M9" s="357" t="s">
        <v>689</v>
      </c>
      <c r="N9" s="356" t="s">
        <v>690</v>
      </c>
    </row>
    <row r="10" ht="14.25" customHeight="1" spans="1:14">
      <c r="A10" s="334" t="s">
        <v>691</v>
      </c>
      <c r="B10" s="333"/>
      <c r="C10" s="333"/>
      <c r="D10" s="341">
        <f>AVERAGE(D4:D8)</f>
        <v>8.7</v>
      </c>
      <c r="E10" s="341"/>
      <c r="F10" s="341"/>
      <c r="G10" s="341">
        <f>AVERAGE(H4:H8)</f>
        <v>8.63333333333333</v>
      </c>
      <c r="H10" s="341"/>
      <c r="I10" s="341"/>
      <c r="J10" s="341"/>
      <c r="L10" s="356"/>
      <c r="M10" s="356" t="s">
        <v>663</v>
      </c>
      <c r="N10" s="356" t="s">
        <v>692</v>
      </c>
    </row>
    <row r="11" ht="14.25" customHeight="1" spans="1:14">
      <c r="A11" s="334" t="s">
        <v>693</v>
      </c>
      <c r="B11" s="333"/>
      <c r="C11" s="333"/>
      <c r="D11" s="341">
        <f>AVERAGE(E4:E8)</f>
        <v>77.4333333333333</v>
      </c>
      <c r="E11" s="341"/>
      <c r="F11" s="341"/>
      <c r="G11" s="341">
        <f>AVERAGE(I4:I8)</f>
        <v>77.6666666666667</v>
      </c>
      <c r="H11" s="341"/>
      <c r="I11" s="341"/>
      <c r="J11" s="341"/>
      <c r="L11" s="357" t="s">
        <v>694</v>
      </c>
      <c r="M11" s="357" t="s">
        <v>625</v>
      </c>
      <c r="N11" s="356" t="s">
        <v>695</v>
      </c>
    </row>
    <row r="12" ht="14.25" customHeight="1" spans="1:14">
      <c r="A12" s="334" t="s">
        <v>696</v>
      </c>
      <c r="B12" s="333"/>
      <c r="C12" s="333"/>
      <c r="D12" s="341">
        <f>AVERAGE(F4:F8)</f>
        <v>2</v>
      </c>
      <c r="E12" s="341"/>
      <c r="F12" s="341"/>
      <c r="G12" s="341">
        <f>AVERAGE(J4:J8)</f>
        <v>1.96666666666667</v>
      </c>
      <c r="H12" s="341"/>
      <c r="I12" s="341"/>
      <c r="J12" s="341"/>
      <c r="L12" s="356"/>
      <c r="M12" s="356" t="s">
        <v>628</v>
      </c>
      <c r="N12" s="356" t="s">
        <v>697</v>
      </c>
    </row>
    <row r="13" ht="15" customHeight="1" spans="1:14">
      <c r="A13" s="342" t="s">
        <v>698</v>
      </c>
      <c r="B13" s="342" t="s">
        <v>659</v>
      </c>
      <c r="C13" s="342" t="s">
        <v>699</v>
      </c>
      <c r="D13" s="343">
        <f>G9/D9-1</f>
        <v>0.396280991735534</v>
      </c>
      <c r="E13" s="343"/>
      <c r="F13" s="343"/>
      <c r="G13" s="343"/>
      <c r="H13" s="343"/>
      <c r="I13" s="343"/>
      <c r="J13" s="343"/>
      <c r="L13" s="357" t="s">
        <v>700</v>
      </c>
      <c r="M13" s="356" t="s">
        <v>595</v>
      </c>
      <c r="N13" s="356" t="s">
        <v>701</v>
      </c>
    </row>
    <row r="14" ht="14.25" customHeight="1" spans="1:14">
      <c r="A14" s="344"/>
      <c r="B14" s="342" t="s">
        <v>659</v>
      </c>
      <c r="C14" s="342" t="s">
        <v>702</v>
      </c>
      <c r="D14" s="343">
        <f>G9/D9-1</f>
        <v>0.396280991735534</v>
      </c>
      <c r="E14" s="343"/>
      <c r="F14" s="343"/>
      <c r="G14" s="343"/>
      <c r="H14" s="343"/>
      <c r="I14" s="343"/>
      <c r="J14" s="343"/>
      <c r="L14" s="356"/>
      <c r="M14" s="356"/>
      <c r="N14" s="356"/>
    </row>
    <row r="15" ht="14.25" customHeight="1" spans="1:14">
      <c r="A15" s="344"/>
      <c r="B15" s="342" t="s">
        <v>659</v>
      </c>
      <c r="C15" s="342" t="s">
        <v>703</v>
      </c>
      <c r="D15" s="343">
        <f>G9/D9-1</f>
        <v>0.396280991735534</v>
      </c>
      <c r="E15" s="343"/>
      <c r="F15" s="343"/>
      <c r="G15" s="343"/>
      <c r="H15" s="343"/>
      <c r="I15" s="343"/>
      <c r="J15" s="343"/>
      <c r="L15" s="358" t="s">
        <v>640</v>
      </c>
      <c r="M15" s="359" t="s">
        <v>704</v>
      </c>
      <c r="N15" s="358" t="s">
        <v>642</v>
      </c>
    </row>
    <row r="16" ht="14.25" customHeight="1" spans="1:14">
      <c r="A16" s="344"/>
      <c r="B16" s="342" t="s">
        <v>659</v>
      </c>
      <c r="C16" s="342" t="s">
        <v>705</v>
      </c>
      <c r="D16" s="343">
        <f>G9/D9-1</f>
        <v>0.396280991735534</v>
      </c>
      <c r="E16" s="343"/>
      <c r="F16" s="343"/>
      <c r="G16" s="343"/>
      <c r="H16" s="343"/>
      <c r="I16" s="343"/>
      <c r="J16" s="343"/>
      <c r="L16" s="358"/>
      <c r="M16" s="358" t="s">
        <v>643</v>
      </c>
      <c r="N16" s="358" t="s">
        <v>644</v>
      </c>
    </row>
    <row r="17" ht="14.25" customHeight="1" spans="1:14">
      <c r="A17" s="344"/>
      <c r="B17" s="345" t="s">
        <v>658</v>
      </c>
      <c r="C17" s="345" t="s">
        <v>706</v>
      </c>
      <c r="D17" s="346">
        <f>G9-D9</f>
        <v>3.19666666666664</v>
      </c>
      <c r="E17" s="346"/>
      <c r="F17" s="346"/>
      <c r="G17" s="346"/>
      <c r="H17" s="346"/>
      <c r="I17" s="346"/>
      <c r="J17" s="346"/>
      <c r="L17" s="358"/>
      <c r="M17" s="358" t="s">
        <v>648</v>
      </c>
      <c r="N17" s="358" t="s">
        <v>649</v>
      </c>
    </row>
    <row r="18" customHeight="1" spans="1:14">
      <c r="A18" s="344"/>
      <c r="B18" s="345" t="s">
        <v>658</v>
      </c>
      <c r="C18" s="345" t="s">
        <v>707</v>
      </c>
      <c r="D18" s="346">
        <f>G9-D9</f>
        <v>3.19666666666664</v>
      </c>
      <c r="E18" s="346"/>
      <c r="F18" s="346"/>
      <c r="G18" s="346"/>
      <c r="H18" s="346"/>
      <c r="I18" s="346"/>
      <c r="J18" s="346"/>
      <c r="L18" s="358"/>
      <c r="M18" s="358" t="s">
        <v>650</v>
      </c>
      <c r="N18" s="358" t="s">
        <v>626</v>
      </c>
    </row>
    <row r="19" ht="15" customHeight="1" spans="1:14">
      <c r="A19" s="347" t="s">
        <v>708</v>
      </c>
      <c r="B19" s="348" t="s">
        <v>659</v>
      </c>
      <c r="C19" s="349" t="s">
        <v>709</v>
      </c>
      <c r="D19" s="343">
        <f>G10/D10-1</f>
        <v>-0.00766283524904254</v>
      </c>
      <c r="E19" s="343"/>
      <c r="F19" s="343"/>
      <c r="G19" s="343"/>
      <c r="H19" s="343"/>
      <c r="I19" s="343"/>
      <c r="J19" s="343"/>
      <c r="L19" s="358" t="s">
        <v>651</v>
      </c>
      <c r="M19" s="359" t="s">
        <v>710</v>
      </c>
      <c r="N19" s="358" t="s">
        <v>653</v>
      </c>
    </row>
    <row r="20" ht="15" customHeight="1" spans="1:14">
      <c r="A20" s="350"/>
      <c r="B20" s="348" t="s">
        <v>659</v>
      </c>
      <c r="C20" s="349" t="s">
        <v>711</v>
      </c>
      <c r="D20" s="343">
        <f>G10/D10-1</f>
        <v>-0.00766283524904254</v>
      </c>
      <c r="E20" s="343"/>
      <c r="F20" s="343"/>
      <c r="G20" s="343"/>
      <c r="H20" s="343"/>
      <c r="I20" s="343"/>
      <c r="J20" s="343"/>
      <c r="L20" s="358"/>
      <c r="M20" s="358" t="s">
        <v>654</v>
      </c>
      <c r="N20" s="358" t="s">
        <v>644</v>
      </c>
    </row>
    <row r="21" ht="14.25" customHeight="1" spans="1:14">
      <c r="A21" s="351" t="s">
        <v>712</v>
      </c>
      <c r="B21" s="352"/>
      <c r="C21" s="352"/>
      <c r="D21" s="346">
        <f>G11-D11</f>
        <v>0.233333333333405</v>
      </c>
      <c r="E21" s="346"/>
      <c r="F21" s="346"/>
      <c r="G21" s="346"/>
      <c r="H21" s="346"/>
      <c r="I21" s="346"/>
      <c r="J21" s="346"/>
      <c r="L21" s="358"/>
      <c r="M21" s="358" t="s">
        <v>655</v>
      </c>
      <c r="N21" s="358" t="s">
        <v>656</v>
      </c>
    </row>
    <row r="22" ht="17.25" customHeight="1" spans="1:14">
      <c r="A22" s="334" t="s">
        <v>668</v>
      </c>
      <c r="B22" s="345" t="s">
        <v>658</v>
      </c>
      <c r="C22" s="353" t="s">
        <v>713</v>
      </c>
      <c r="D22" s="346">
        <f>G12-D12</f>
        <v>-0.0333333333333301</v>
      </c>
      <c r="E22" s="346"/>
      <c r="F22" s="346"/>
      <c r="G22" s="346"/>
      <c r="H22" s="346"/>
      <c r="I22" s="346"/>
      <c r="J22" s="346"/>
      <c r="L22" s="358"/>
      <c r="M22" s="358" t="s">
        <v>657</v>
      </c>
      <c r="N22" s="358" t="s">
        <v>626</v>
      </c>
    </row>
    <row r="23" ht="15" customHeight="1" spans="1:10">
      <c r="A23" s="333"/>
      <c r="B23" s="334" t="s">
        <v>659</v>
      </c>
      <c r="C23" s="333" t="s">
        <v>714</v>
      </c>
      <c r="D23" s="343">
        <f>G12/D12-1</f>
        <v>-0.0166666666666651</v>
      </c>
      <c r="E23" s="343"/>
      <c r="F23" s="343"/>
      <c r="G23" s="343"/>
      <c r="H23" s="343"/>
      <c r="I23" s="343"/>
      <c r="J23" s="343"/>
    </row>
    <row r="24" customHeight="1" spans="12:16">
      <c r="L24" s="360" t="s">
        <v>600</v>
      </c>
      <c r="M24" s="360"/>
      <c r="N24" s="360"/>
      <c r="O24" s="361" t="s">
        <v>601</v>
      </c>
      <c r="P24" s="361" t="s">
        <v>602</v>
      </c>
    </row>
    <row r="25" customHeight="1" spans="12:16">
      <c r="L25" s="362">
        <v>60.85</v>
      </c>
      <c r="M25" s="362">
        <v>60</v>
      </c>
      <c r="N25" s="362">
        <v>61</v>
      </c>
      <c r="O25" s="363">
        <f t="shared" ref="O25:O28" si="0">(M25-L25)/L25</f>
        <v>-0.0139687756778965</v>
      </c>
      <c r="P25" s="363">
        <f t="shared" ref="P25:P28" si="1">(N25-L25)/L25</f>
        <v>0.00246507806080524</v>
      </c>
    </row>
    <row r="26" customHeight="1" spans="12:16">
      <c r="L26" s="362">
        <v>60.85</v>
      </c>
      <c r="M26" s="362">
        <v>61</v>
      </c>
      <c r="N26" s="362">
        <v>62</v>
      </c>
      <c r="O26" s="363">
        <f t="shared" si="0"/>
        <v>0.00246507806080524</v>
      </c>
      <c r="P26" s="363">
        <f t="shared" si="1"/>
        <v>0.018898931799507</v>
      </c>
    </row>
    <row r="27" customHeight="1" spans="12:16">
      <c r="L27" s="362">
        <v>50</v>
      </c>
      <c r="M27" s="362">
        <v>50.1</v>
      </c>
      <c r="N27" s="362">
        <v>50.2</v>
      </c>
      <c r="O27" s="363">
        <f t="shared" si="0"/>
        <v>0.00200000000000003</v>
      </c>
      <c r="P27" s="363">
        <f t="shared" si="1"/>
        <v>0.00400000000000006</v>
      </c>
    </row>
    <row r="28" customHeight="1" spans="12:16">
      <c r="L28" s="364">
        <v>26.73</v>
      </c>
      <c r="M28" s="364">
        <v>26.77</v>
      </c>
      <c r="N28" s="364">
        <v>26.76</v>
      </c>
      <c r="O28" s="363">
        <f t="shared" si="0"/>
        <v>0.00149644594089035</v>
      </c>
      <c r="P28" s="363">
        <f t="shared" si="1"/>
        <v>0.00112233445566783</v>
      </c>
    </row>
  </sheetData>
  <sheetProtection sort="0" autoFilter="0"/>
  <mergeCells count="41">
    <mergeCell ref="B1:F1"/>
    <mergeCell ref="G1:J1"/>
    <mergeCell ref="A9:C9"/>
    <mergeCell ref="D9:F9"/>
    <mergeCell ref="G9:J9"/>
    <mergeCell ref="A10:C10"/>
    <mergeCell ref="D10:F10"/>
    <mergeCell ref="G10:J10"/>
    <mergeCell ref="A11:C11"/>
    <mergeCell ref="D11:F11"/>
    <mergeCell ref="G11:J11"/>
    <mergeCell ref="A12:C12"/>
    <mergeCell ref="D12:F12"/>
    <mergeCell ref="G12:J12"/>
    <mergeCell ref="D13:J13"/>
    <mergeCell ref="D14:J14"/>
    <mergeCell ref="D15:J15"/>
    <mergeCell ref="D16:J16"/>
    <mergeCell ref="D17:J17"/>
    <mergeCell ref="D18:J18"/>
    <mergeCell ref="D19:J19"/>
    <mergeCell ref="D20:J20"/>
    <mergeCell ref="A21:C21"/>
    <mergeCell ref="D21:J21"/>
    <mergeCell ref="D22:J22"/>
    <mergeCell ref="D23:J23"/>
    <mergeCell ref="L24:N24"/>
    <mergeCell ref="A1:A3"/>
    <mergeCell ref="A13:A18"/>
    <mergeCell ref="A19:A20"/>
    <mergeCell ref="A22:A23"/>
    <mergeCell ref="B2:B3"/>
    <mergeCell ref="L1:L6"/>
    <mergeCell ref="L7:L8"/>
    <mergeCell ref="L9:L10"/>
    <mergeCell ref="L11:L12"/>
    <mergeCell ref="L13:L14"/>
    <mergeCell ref="L15:L18"/>
    <mergeCell ref="L19:L22"/>
    <mergeCell ref="M13:M14"/>
    <mergeCell ref="N13:N1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8"/>
  <sheetViews>
    <sheetView zoomScale="145" zoomScaleNormal="145" workbookViewId="0">
      <selection activeCell="N1" sqref="N1:P11"/>
    </sheetView>
  </sheetViews>
  <sheetFormatPr defaultColWidth="13.2857142857143" defaultRowHeight="16.5" customHeight="1"/>
  <cols>
    <col min="2" max="2" width="12.152380952381" customWidth="1"/>
    <col min="3" max="3" width="15.5142857142857" customWidth="1"/>
    <col min="4" max="4" width="16.2857142857143"/>
    <col min="5" max="5" width="16.247619047619"/>
    <col min="6" max="6" width="19.7428571428571" customWidth="1"/>
    <col min="8" max="8" width="24.7142857142857" customWidth="1"/>
    <col min="9" max="9" width="16.1238095238095"/>
    <col min="10" max="10" width="14"/>
    <col min="11" max="11" width="24.3714285714286"/>
    <col min="12" max="12" width="14"/>
    <col min="14" max="14" width="14"/>
    <col min="15" max="15" width="15.9333333333333" customWidth="1"/>
    <col min="16" max="16" width="10.5142857142857" customWidth="1"/>
  </cols>
  <sheetData>
    <row r="1" customHeight="1" spans="1:16">
      <c r="A1" s="286" t="s">
        <v>715</v>
      </c>
      <c r="B1" s="286"/>
      <c r="C1" s="286"/>
      <c r="D1" s="286"/>
      <c r="E1" s="286"/>
      <c r="F1" s="286"/>
      <c r="G1" s="286"/>
      <c r="H1" s="286"/>
      <c r="N1" s="319" t="s">
        <v>716</v>
      </c>
      <c r="O1" s="320" t="s">
        <v>717</v>
      </c>
      <c r="P1" s="321" t="s">
        <v>718</v>
      </c>
    </row>
    <row r="2" customHeight="1" spans="1:16">
      <c r="A2" s="287" t="s">
        <v>719</v>
      </c>
      <c r="B2" s="287" t="s">
        <v>720</v>
      </c>
      <c r="C2" s="287" t="s">
        <v>721</v>
      </c>
      <c r="D2" s="287" t="s">
        <v>722</v>
      </c>
      <c r="E2" s="287" t="s">
        <v>723</v>
      </c>
      <c r="F2" s="287" t="s">
        <v>724</v>
      </c>
      <c r="G2" s="287" t="s">
        <v>725</v>
      </c>
      <c r="H2" s="287" t="s">
        <v>726</v>
      </c>
      <c r="N2" s="322">
        <v>7.22</v>
      </c>
      <c r="O2" s="323">
        <v>6.02559586074358e-8</v>
      </c>
      <c r="P2" s="324">
        <v>1.65958690743756e-7</v>
      </c>
    </row>
    <row r="3" ht="18" customHeight="1" spans="1:16">
      <c r="A3" s="287"/>
      <c r="B3" s="287"/>
      <c r="C3" s="288">
        <v>124.3</v>
      </c>
      <c r="D3" s="288">
        <v>103.5</v>
      </c>
      <c r="E3" s="289">
        <f>AVERAGE(C3:C4)-AVERAGE(D3:D4)</f>
        <v>0.850000000000009</v>
      </c>
      <c r="F3" s="290">
        <f>(AVERAGE(C3:C4)-AVERAGE(D3:D4))/AVERAGE(D3:D4)</f>
        <v>0.00841167738743205</v>
      </c>
      <c r="G3" s="291" t="s">
        <v>727</v>
      </c>
      <c r="H3" s="292" t="s">
        <v>728</v>
      </c>
      <c r="N3" s="322">
        <v>8.07</v>
      </c>
      <c r="O3" s="323">
        <v>8.51138038202376e-9</v>
      </c>
      <c r="P3" s="324">
        <v>1.17489755493953e-6</v>
      </c>
    </row>
    <row r="4" ht="18" customHeight="1" spans="1:16">
      <c r="A4" s="287"/>
      <c r="B4" s="287"/>
      <c r="C4" s="288">
        <v>79.5</v>
      </c>
      <c r="D4" s="288">
        <v>98.6</v>
      </c>
      <c r="E4" s="289"/>
      <c r="F4" s="290"/>
      <c r="G4" s="291"/>
      <c r="H4" s="292"/>
      <c r="N4" s="322">
        <v>7.78</v>
      </c>
      <c r="O4" s="323">
        <v>1.65958690743756e-8</v>
      </c>
      <c r="P4" s="324">
        <v>6.02559586074358e-7</v>
      </c>
    </row>
    <row r="5" customHeight="1" spans="1:16">
      <c r="A5" s="287"/>
      <c r="B5" s="287"/>
      <c r="C5" s="288">
        <v>124.3</v>
      </c>
      <c r="D5" s="288">
        <v>103.5</v>
      </c>
      <c r="E5" s="289">
        <f>AVERAGE(C5:C6)-AVERAGE(D5:D6)</f>
        <v>0.850000000000009</v>
      </c>
      <c r="F5" s="290">
        <f>(AVERAGE(C5:C6)-AVERAGE(D5:D6))/AVERAGE(D5:D6)</f>
        <v>0.00841167738743205</v>
      </c>
      <c r="G5" s="291" t="s">
        <v>727</v>
      </c>
      <c r="H5" s="292"/>
      <c r="N5" s="322">
        <v>8.18</v>
      </c>
      <c r="O5" s="323">
        <v>6.60693448007596e-9</v>
      </c>
      <c r="P5" s="324">
        <v>1.51356124843621e-6</v>
      </c>
    </row>
    <row r="6" customHeight="1" spans="1:16">
      <c r="A6" s="287"/>
      <c r="B6" s="287"/>
      <c r="C6" s="288">
        <v>79.5</v>
      </c>
      <c r="D6" s="288">
        <v>98.6</v>
      </c>
      <c r="E6" s="289"/>
      <c r="F6" s="290"/>
      <c r="G6" s="291"/>
      <c r="H6" s="292"/>
      <c r="N6" s="322">
        <v>7.03</v>
      </c>
      <c r="O6" s="323">
        <v>9.3325430079699e-8</v>
      </c>
      <c r="P6" s="324">
        <v>1.07151930523761e-7</v>
      </c>
    </row>
    <row r="7" customHeight="1" spans="1:16">
      <c r="A7" s="293"/>
      <c r="B7" s="287"/>
      <c r="C7" s="288">
        <v>124.3</v>
      </c>
      <c r="D7" s="288">
        <v>103.5</v>
      </c>
      <c r="E7" s="289">
        <f>AVERAGE(C7:C8)-AVERAGE(D7:D8)</f>
        <v>0.850000000000009</v>
      </c>
      <c r="F7" s="290">
        <f>(AVERAGE(C7:C8)-AVERAGE(D7:D8))/AVERAGE(D7:D8)</f>
        <v>0.00841167738743205</v>
      </c>
      <c r="G7" s="291" t="s">
        <v>727</v>
      </c>
      <c r="H7" s="292"/>
      <c r="N7" s="322">
        <v>7.65</v>
      </c>
      <c r="O7" s="323">
        <v>2.23872113856834e-8</v>
      </c>
      <c r="P7" s="324">
        <v>4.46683592150963e-7</v>
      </c>
    </row>
    <row r="8" customHeight="1" spans="1:16">
      <c r="A8" s="293"/>
      <c r="B8" s="287"/>
      <c r="C8" s="288">
        <v>79.5</v>
      </c>
      <c r="D8" s="288">
        <v>98.6</v>
      </c>
      <c r="E8" s="289"/>
      <c r="F8" s="290"/>
      <c r="G8" s="291"/>
      <c r="H8" s="292"/>
      <c r="N8" s="325" t="s">
        <v>729</v>
      </c>
      <c r="O8" s="323">
        <v>3.46137973348823e-8</v>
      </c>
      <c r="P8" s="324">
        <v>6.68468767144763e-7</v>
      </c>
    </row>
    <row r="9" customHeight="1" spans="1:16">
      <c r="A9" s="294"/>
      <c r="B9" s="294"/>
      <c r="C9" s="295">
        <v>6.861</v>
      </c>
      <c r="D9" s="295">
        <v>6.86</v>
      </c>
      <c r="E9" s="294">
        <f>AVERAGE(C9:C14)-AVERAGE(D9:D14)</f>
        <v>0.000999999999999446</v>
      </c>
      <c r="F9" s="294" t="s">
        <v>595</v>
      </c>
      <c r="G9" s="294" t="s">
        <v>730</v>
      </c>
      <c r="H9" s="296" t="s">
        <v>731</v>
      </c>
      <c r="N9" s="325" t="s">
        <v>732</v>
      </c>
      <c r="O9" s="323">
        <v>-6.3385496980988e-7</v>
      </c>
      <c r="P9" s="324">
        <v>6.3385496980988e-7</v>
      </c>
    </row>
    <row r="10" customHeight="1" spans="1:16">
      <c r="A10" s="294"/>
      <c r="B10" s="294"/>
      <c r="C10" s="295">
        <v>6.861</v>
      </c>
      <c r="D10" s="295">
        <v>6.86</v>
      </c>
      <c r="E10" s="294"/>
      <c r="F10" s="294"/>
      <c r="G10" s="294"/>
      <c r="H10" s="296"/>
      <c r="N10" s="325" t="s">
        <v>733</v>
      </c>
      <c r="O10" s="323">
        <v>1.54022168795544e-8</v>
      </c>
      <c r="P10" s="324">
        <v>6.49257186689435e-7</v>
      </c>
    </row>
    <row r="11" customHeight="1" spans="1:16">
      <c r="A11" s="294"/>
      <c r="B11" s="294"/>
      <c r="C11" s="295">
        <v>6.861</v>
      </c>
      <c r="D11" s="295">
        <v>6.86</v>
      </c>
      <c r="E11" s="294"/>
      <c r="F11" s="294"/>
      <c r="G11" s="294"/>
      <c r="H11" s="296"/>
      <c r="N11" s="326" t="s">
        <v>734</v>
      </c>
      <c r="O11" s="327">
        <v>7.81241676557479</v>
      </c>
      <c r="P11" s="328">
        <v>7.8124167655748</v>
      </c>
    </row>
    <row r="12" customHeight="1" spans="1:8">
      <c r="A12" s="294"/>
      <c r="B12" s="294"/>
      <c r="C12" s="295">
        <v>6.861</v>
      </c>
      <c r="D12" s="295">
        <v>6.86</v>
      </c>
      <c r="E12" s="294"/>
      <c r="F12" s="294"/>
      <c r="G12" s="294"/>
      <c r="H12" s="296"/>
    </row>
    <row r="13" customHeight="1" spans="1:8">
      <c r="A13" s="294"/>
      <c r="B13" s="294"/>
      <c r="C13" s="295">
        <v>6.861</v>
      </c>
      <c r="D13" s="295">
        <v>6.86</v>
      </c>
      <c r="E13" s="294"/>
      <c r="F13" s="294"/>
      <c r="G13" s="294"/>
      <c r="H13" s="296"/>
    </row>
    <row r="14" customHeight="1" spans="1:8">
      <c r="A14" s="294"/>
      <c r="B14" s="294"/>
      <c r="C14" s="295">
        <v>6.861</v>
      </c>
      <c r="D14" s="295">
        <v>6.86</v>
      </c>
      <c r="E14" s="294"/>
      <c r="F14" s="294"/>
      <c r="G14" s="294"/>
      <c r="H14" s="296"/>
    </row>
    <row r="15" customHeight="1" spans="1:8">
      <c r="A15" s="286" t="s">
        <v>735</v>
      </c>
      <c r="B15" s="286"/>
      <c r="C15" s="286"/>
      <c r="D15" s="286"/>
      <c r="E15" s="286"/>
      <c r="F15" s="286"/>
      <c r="G15" s="286"/>
      <c r="H15" s="286"/>
    </row>
    <row r="16" s="285" customFormat="1" customHeight="1" spans="1:8">
      <c r="A16" s="297" t="s">
        <v>736</v>
      </c>
      <c r="B16" s="297" t="s">
        <v>737</v>
      </c>
      <c r="C16" s="297" t="s">
        <v>738</v>
      </c>
      <c r="D16" s="298" t="s">
        <v>739</v>
      </c>
      <c r="E16" s="297" t="s">
        <v>740</v>
      </c>
      <c r="F16" s="297" t="s">
        <v>741</v>
      </c>
      <c r="G16" s="297" t="s">
        <v>742</v>
      </c>
      <c r="H16" s="297" t="s">
        <v>743</v>
      </c>
    </row>
    <row r="17" ht="18" customHeight="1" spans="1:8">
      <c r="A17" s="299"/>
      <c r="B17" s="300"/>
      <c r="C17" s="300">
        <v>50</v>
      </c>
      <c r="D17" s="300">
        <v>49</v>
      </c>
      <c r="E17" s="301" t="s">
        <v>595</v>
      </c>
      <c r="F17" s="302">
        <f>(AVERAGE(D17:D19)-C17)/C17</f>
        <v>-0.04</v>
      </c>
      <c r="G17" s="300" t="s">
        <v>744</v>
      </c>
      <c r="H17" s="303" t="s">
        <v>745</v>
      </c>
    </row>
    <row r="18" customHeight="1" spans="1:8">
      <c r="A18" s="304"/>
      <c r="B18" s="300"/>
      <c r="C18" s="300"/>
      <c r="D18" s="300">
        <v>48</v>
      </c>
      <c r="E18" s="301"/>
      <c r="F18" s="302"/>
      <c r="G18" s="300"/>
      <c r="H18" s="305"/>
    </row>
    <row r="19" customHeight="1" spans="1:8">
      <c r="A19" s="306"/>
      <c r="B19" s="300"/>
      <c r="C19" s="300"/>
      <c r="D19" s="300">
        <v>47</v>
      </c>
      <c r="E19" s="301"/>
      <c r="F19" s="302"/>
      <c r="G19" s="300"/>
      <c r="H19" s="305"/>
    </row>
    <row r="20" customHeight="1" spans="1:8">
      <c r="A20" s="307"/>
      <c r="B20" s="300"/>
      <c r="C20" s="300">
        <v>250</v>
      </c>
      <c r="D20" s="300">
        <v>250</v>
      </c>
      <c r="E20" s="301" t="s">
        <v>595</v>
      </c>
      <c r="F20" s="302">
        <f>(AVERAGE(D20:D22)-C20)/C20</f>
        <v>-0.00133333333333337</v>
      </c>
      <c r="G20" s="300" t="s">
        <v>744</v>
      </c>
      <c r="H20" s="305"/>
    </row>
    <row r="21" customHeight="1" spans="1:8">
      <c r="A21" s="308"/>
      <c r="B21" s="300"/>
      <c r="C21" s="300"/>
      <c r="D21" s="300">
        <v>249</v>
      </c>
      <c r="E21" s="301"/>
      <c r="F21" s="302"/>
      <c r="G21" s="300"/>
      <c r="H21" s="305"/>
    </row>
    <row r="22" customHeight="1" spans="1:8">
      <c r="A22" s="309"/>
      <c r="B22" s="310"/>
      <c r="C22" s="300"/>
      <c r="D22" s="300">
        <v>250</v>
      </c>
      <c r="E22" s="301"/>
      <c r="F22" s="302"/>
      <c r="G22" s="300"/>
      <c r="H22" s="305"/>
    </row>
    <row r="23" customHeight="1" spans="1:8">
      <c r="A23" s="307"/>
      <c r="B23" s="310"/>
      <c r="C23" s="307">
        <v>4.008</v>
      </c>
      <c r="D23" s="300">
        <v>4.009</v>
      </c>
      <c r="E23" s="311">
        <f>AVERAGE(D23:D28)-C23</f>
        <v>-0.00383333333333358</v>
      </c>
      <c r="F23" s="307" t="s">
        <v>595</v>
      </c>
      <c r="G23" s="312" t="s">
        <v>746</v>
      </c>
      <c r="H23" s="313" t="s">
        <v>747</v>
      </c>
    </row>
    <row r="24" customHeight="1" spans="1:8">
      <c r="A24" s="308"/>
      <c r="B24" s="310"/>
      <c r="C24" s="308"/>
      <c r="D24" s="300">
        <v>4.006</v>
      </c>
      <c r="E24" s="314"/>
      <c r="F24" s="308"/>
      <c r="G24" s="308"/>
      <c r="H24" s="315"/>
    </row>
    <row r="25" customHeight="1" spans="1:12">
      <c r="A25" s="308"/>
      <c r="B25" s="316"/>
      <c r="C25" s="308"/>
      <c r="D25" s="307">
        <v>4.005</v>
      </c>
      <c r="E25" s="314"/>
      <c r="F25" s="308"/>
      <c r="G25" s="308"/>
      <c r="H25" s="315"/>
      <c r="J25" s="248"/>
      <c r="K25" s="248"/>
      <c r="L25" s="248"/>
    </row>
    <row r="26" s="62" customFormat="1" customHeight="1" spans="1:57">
      <c r="A26" s="308"/>
      <c r="B26" s="310"/>
      <c r="C26" s="308"/>
      <c r="D26" s="300">
        <v>4.003</v>
      </c>
      <c r="E26" s="314"/>
      <c r="F26" s="308"/>
      <c r="G26" s="308"/>
      <c r="H26" s="315"/>
      <c r="I26" s="248"/>
      <c r="J26" s="329"/>
      <c r="K26" s="329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331"/>
    </row>
    <row r="27" s="62" customFormat="1" customHeight="1" spans="1:57">
      <c r="A27" s="308"/>
      <c r="B27" s="310"/>
      <c r="C27" s="308"/>
      <c r="D27" s="300">
        <v>4.002</v>
      </c>
      <c r="E27" s="314"/>
      <c r="F27" s="308"/>
      <c r="G27" s="308"/>
      <c r="H27" s="315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331"/>
    </row>
    <row r="28" s="62" customFormat="1" customHeight="1" spans="1:57">
      <c r="A28" s="309"/>
      <c r="B28" s="310"/>
      <c r="C28" s="309"/>
      <c r="D28" s="317">
        <v>4</v>
      </c>
      <c r="E28" s="318"/>
      <c r="F28" s="309"/>
      <c r="G28" s="309"/>
      <c r="H28" s="315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331"/>
    </row>
    <row r="29" customHeight="1" spans="11:11">
      <c r="K29" s="330"/>
    </row>
    <row r="30" customHeight="1" spans="11:11">
      <c r="K30" s="330"/>
    </row>
    <row r="31" customHeight="1" spans="11:11">
      <c r="K31" s="330"/>
    </row>
    <row r="32" customHeight="1" spans="11:11">
      <c r="K32" s="330"/>
    </row>
    <row r="33" customHeight="1" spans="11:11">
      <c r="K33" s="330"/>
    </row>
    <row r="34" customHeight="1" spans="11:11">
      <c r="K34" s="330"/>
    </row>
    <row r="35" customHeight="1" spans="11:11">
      <c r="K35" s="330"/>
    </row>
    <row r="36" customHeight="1" spans="11:11">
      <c r="K36" s="330"/>
    </row>
    <row r="37" customHeight="1" spans="11:11">
      <c r="K37" s="330"/>
    </row>
    <row r="38" customHeight="1" spans="11:11">
      <c r="K38" s="330"/>
    </row>
  </sheetData>
  <sheetProtection sort="0" autoFilter="0"/>
  <mergeCells count="37">
    <mergeCell ref="A1:H1"/>
    <mergeCell ref="A15:H15"/>
    <mergeCell ref="A3:A4"/>
    <mergeCell ref="A5:A6"/>
    <mergeCell ref="A7:A8"/>
    <mergeCell ref="A9:A14"/>
    <mergeCell ref="A17:A19"/>
    <mergeCell ref="A20:A22"/>
    <mergeCell ref="A23:A28"/>
    <mergeCell ref="C17:C19"/>
    <mergeCell ref="C20:C22"/>
    <mergeCell ref="C23:C28"/>
    <mergeCell ref="E3:E4"/>
    <mergeCell ref="E5:E6"/>
    <mergeCell ref="E7:E8"/>
    <mergeCell ref="E9:E14"/>
    <mergeCell ref="E17:E19"/>
    <mergeCell ref="E20:E22"/>
    <mergeCell ref="E23:E28"/>
    <mergeCell ref="F3:F4"/>
    <mergeCell ref="F5:F6"/>
    <mergeCell ref="F7:F8"/>
    <mergeCell ref="F9:F14"/>
    <mergeCell ref="F17:F19"/>
    <mergeCell ref="F20:F22"/>
    <mergeCell ref="F23:F28"/>
    <mergeCell ref="G3:G4"/>
    <mergeCell ref="G5:G6"/>
    <mergeCell ref="G7:G8"/>
    <mergeCell ref="G9:G14"/>
    <mergeCell ref="G17:G19"/>
    <mergeCell ref="G20:G22"/>
    <mergeCell ref="G23:G28"/>
    <mergeCell ref="H3:H8"/>
    <mergeCell ref="H9:H14"/>
    <mergeCell ref="H17:H22"/>
    <mergeCell ref="H23:H28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5"/>
  <sheetViews>
    <sheetView tabSelected="1" workbookViewId="0">
      <selection activeCell="AE23" sqref="AE23"/>
    </sheetView>
  </sheetViews>
  <sheetFormatPr defaultColWidth="9" defaultRowHeight="12"/>
  <cols>
    <col min="1" max="1" width="4.75238095238095" customWidth="1"/>
    <col min="2" max="2" width="5.12380952380952" customWidth="1"/>
    <col min="3" max="3" width="5.5047619047619" customWidth="1"/>
    <col min="5" max="5" width="11.3714285714286" customWidth="1"/>
    <col min="6" max="6" width="11.5047619047619" customWidth="1"/>
    <col min="7" max="7" width="13.247619047619" customWidth="1"/>
    <col min="8" max="8" width="14.0380952380952" customWidth="1"/>
    <col min="11" max="11" width="12.8571428571429"/>
    <col min="12" max="12" width="10.6285714285714"/>
    <col min="18" max="18" width="9.62857142857143"/>
    <col min="19" max="20" width="16.247619047619"/>
    <col min="21" max="21" width="20.6285714285714"/>
    <col min="22" max="23" width="16.247619047619"/>
    <col min="24" max="25" width="24.8761904761905"/>
    <col min="26" max="26" width="16.247619047619"/>
    <col min="27" max="27" width="16.247619047619" customWidth="1"/>
    <col min="28" max="28" width="12.6285714285714" customWidth="1"/>
    <col min="29" max="29" width="12.8761904761905"/>
    <col min="30" max="30" width="12.752380952381" customWidth="1"/>
    <col min="31" max="31" width="14.5714285714286"/>
    <col min="32" max="32" width="17.0666666666667" customWidth="1"/>
    <col min="33" max="33" width="18.6285714285714"/>
    <col min="34" max="35" width="22.752380952381"/>
    <col min="36" max="38" width="12.8761904761905"/>
    <col min="39" max="39" width="16.247619047619"/>
    <col min="40" max="41" width="12.8761904761905"/>
    <col min="42" max="43" width="16.247619047619"/>
    <col min="46" max="46" width="16.247619047619"/>
  </cols>
  <sheetData>
    <row r="1" ht="20.25" spans="1:25">
      <c r="A1" s="152" t="s">
        <v>748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Q1" s="187"/>
      <c r="R1" s="187"/>
      <c r="S1" s="187"/>
      <c r="T1" s="186"/>
      <c r="U1" s="186"/>
      <c r="V1" s="186"/>
      <c r="W1" s="186"/>
      <c r="X1" s="186"/>
      <c r="Y1" s="186"/>
    </row>
    <row r="2" ht="15.75" spans="1:25">
      <c r="A2" s="153" t="s">
        <v>645</v>
      </c>
      <c r="B2" s="153" t="s">
        <v>749</v>
      </c>
      <c r="C2" s="153" t="s">
        <v>750</v>
      </c>
      <c r="D2" s="153" t="s">
        <v>751</v>
      </c>
      <c r="E2" s="154" t="s">
        <v>752</v>
      </c>
      <c r="F2" s="154"/>
      <c r="G2" s="154"/>
      <c r="H2" s="154" t="s">
        <v>753</v>
      </c>
      <c r="I2" s="154"/>
      <c r="J2" s="154"/>
      <c r="K2" s="154"/>
      <c r="L2" s="154" t="s">
        <v>754</v>
      </c>
      <c r="M2" s="154" t="s">
        <v>755</v>
      </c>
      <c r="N2" s="154"/>
      <c r="O2" s="154" t="s">
        <v>756</v>
      </c>
      <c r="Q2" s="188" t="s">
        <v>645</v>
      </c>
      <c r="R2" s="189" t="s">
        <v>757</v>
      </c>
      <c r="S2" s="188" t="s">
        <v>750</v>
      </c>
      <c r="T2" s="188" t="s">
        <v>758</v>
      </c>
      <c r="U2" s="190" t="s">
        <v>759</v>
      </c>
      <c r="V2" s="191"/>
      <c r="W2" s="192"/>
      <c r="X2" s="193" t="s">
        <v>760</v>
      </c>
      <c r="Y2" s="249" t="s">
        <v>761</v>
      </c>
    </row>
    <row r="3" ht="14.25" spans="1:25">
      <c r="A3" s="155"/>
      <c r="B3" s="155"/>
      <c r="C3" s="155"/>
      <c r="D3" s="155"/>
      <c r="E3" s="154"/>
      <c r="F3" s="154"/>
      <c r="G3" s="154"/>
      <c r="H3" s="154"/>
      <c r="I3" s="154"/>
      <c r="J3" s="154"/>
      <c r="K3" s="154"/>
      <c r="L3" s="154"/>
      <c r="M3" s="154" t="s">
        <v>762</v>
      </c>
      <c r="N3" s="154"/>
      <c r="O3" s="154"/>
      <c r="Q3" s="194"/>
      <c r="R3" s="195"/>
      <c r="S3" s="194"/>
      <c r="T3" s="194"/>
      <c r="U3" s="196" t="s">
        <v>763</v>
      </c>
      <c r="V3" s="196" t="s">
        <v>764</v>
      </c>
      <c r="W3" s="196" t="s">
        <v>765</v>
      </c>
      <c r="X3" s="193"/>
      <c r="Y3" s="250"/>
    </row>
    <row r="4" ht="32.25" spans="1:25">
      <c r="A4" s="156"/>
      <c r="B4" s="156"/>
      <c r="C4" s="156"/>
      <c r="D4" s="156"/>
      <c r="E4" s="157" t="s">
        <v>766</v>
      </c>
      <c r="F4" s="157"/>
      <c r="G4" s="157" t="s">
        <v>767</v>
      </c>
      <c r="H4" s="157" t="s">
        <v>768</v>
      </c>
      <c r="I4" s="153" t="s">
        <v>756</v>
      </c>
      <c r="J4" s="157" t="s">
        <v>769</v>
      </c>
      <c r="K4" s="153" t="s">
        <v>756</v>
      </c>
      <c r="L4" s="157" t="s">
        <v>770</v>
      </c>
      <c r="M4" s="157" t="s">
        <v>771</v>
      </c>
      <c r="N4" s="157" t="s">
        <v>772</v>
      </c>
      <c r="O4" s="154"/>
      <c r="Q4" s="197" t="s">
        <v>773</v>
      </c>
      <c r="R4" s="197"/>
      <c r="S4" s="197"/>
      <c r="T4" s="59">
        <v>4</v>
      </c>
      <c r="U4" s="198">
        <v>98.4</v>
      </c>
      <c r="V4" s="198">
        <v>97.1</v>
      </c>
      <c r="W4" s="198">
        <v>98.8</v>
      </c>
      <c r="X4" s="199">
        <f>10*LOG((10^(0.1*U4)+10^(0.1*V4)+10^(0.1*W4)+10^(0.1*U5)+10^(0.1*V5)+10^(0.1*W5)+10^(0.1*U6)+10^(0.1*V6)+10^(0.1*W6))/9)</f>
        <v>97.8933168421162</v>
      </c>
      <c r="Y4" s="251">
        <f>10*LOG(T4/8)+X4</f>
        <v>94.8830168854764</v>
      </c>
    </row>
    <row r="5" ht="16.5" spans="1:25">
      <c r="A5" s="158" t="s">
        <v>774</v>
      </c>
      <c r="B5" s="159"/>
      <c r="C5" s="160"/>
      <c r="D5" s="161">
        <v>6</v>
      </c>
      <c r="E5" s="6">
        <v>7.18</v>
      </c>
      <c r="F5" s="162"/>
      <c r="G5" s="163">
        <f>AVERAGE(E5:E11)*D5/8</f>
        <v>7.305</v>
      </c>
      <c r="H5" s="161">
        <v>600</v>
      </c>
      <c r="I5" s="163" t="str">
        <f>IF(L5&lt;H5,"符合","不符合")</f>
        <v>符合</v>
      </c>
      <c r="J5" s="161">
        <v>300</v>
      </c>
      <c r="K5" s="163" t="str">
        <f>IF(G5&lt;J5,"符合","不符合")</f>
        <v>符合</v>
      </c>
      <c r="L5" s="163">
        <f>MAX(E5:E11)</f>
        <v>12.3</v>
      </c>
      <c r="M5" s="163">
        <f>J5*3</f>
        <v>900</v>
      </c>
      <c r="N5" s="163">
        <f>J5*5</f>
        <v>1500</v>
      </c>
      <c r="O5" s="163" t="str">
        <f>IF(AND(L5&lt;M5,L5&lt;N5),"符合","不符合")</f>
        <v>符合</v>
      </c>
      <c r="Q5" s="197"/>
      <c r="R5" s="197"/>
      <c r="S5" s="197"/>
      <c r="T5" s="59"/>
      <c r="U5" s="198">
        <v>98.3</v>
      </c>
      <c r="V5" s="198">
        <v>98.2</v>
      </c>
      <c r="W5" s="198">
        <v>97.9</v>
      </c>
      <c r="X5" s="199"/>
      <c r="Y5" s="251"/>
    </row>
    <row r="6" ht="16.5" spans="1:25">
      <c r="A6" s="164"/>
      <c r="B6" s="165"/>
      <c r="C6" s="166"/>
      <c r="D6" s="167"/>
      <c r="E6" s="9">
        <v>12.3</v>
      </c>
      <c r="F6" s="168"/>
      <c r="G6" s="169"/>
      <c r="H6" s="167"/>
      <c r="I6" s="169"/>
      <c r="J6" s="167"/>
      <c r="K6" s="169"/>
      <c r="L6" s="169"/>
      <c r="M6" s="169"/>
      <c r="N6" s="169"/>
      <c r="O6" s="169"/>
      <c r="Q6" s="197"/>
      <c r="R6" s="197"/>
      <c r="S6" s="197"/>
      <c r="T6" s="59"/>
      <c r="U6" s="198">
        <v>97.5</v>
      </c>
      <c r="V6" s="198">
        <v>97.3</v>
      </c>
      <c r="W6" s="198">
        <v>97.2</v>
      </c>
      <c r="X6" s="199"/>
      <c r="Y6" s="251"/>
    </row>
    <row r="7" ht="19.5" spans="1:34">
      <c r="A7" s="164"/>
      <c r="B7" s="165"/>
      <c r="C7" s="166"/>
      <c r="D7" s="167"/>
      <c r="E7" s="9"/>
      <c r="F7" s="168"/>
      <c r="G7" s="169"/>
      <c r="H7" s="167"/>
      <c r="I7" s="169"/>
      <c r="J7" s="167"/>
      <c r="K7" s="169"/>
      <c r="L7" s="169"/>
      <c r="M7" s="169"/>
      <c r="N7" s="169"/>
      <c r="O7" s="169"/>
      <c r="Q7" s="188" t="s">
        <v>645</v>
      </c>
      <c r="R7" s="189" t="s">
        <v>757</v>
      </c>
      <c r="S7" s="188" t="s">
        <v>750</v>
      </c>
      <c r="T7" s="188" t="s">
        <v>758</v>
      </c>
      <c r="U7" s="196" t="s">
        <v>759</v>
      </c>
      <c r="V7" s="196"/>
      <c r="W7" s="196"/>
      <c r="X7" s="200" t="s">
        <v>775</v>
      </c>
      <c r="Y7" s="252" t="s">
        <v>776</v>
      </c>
      <c r="Z7" s="253" t="s">
        <v>777</v>
      </c>
      <c r="AA7" s="253"/>
      <c r="AB7" s="253"/>
      <c r="AC7" s="253"/>
      <c r="AD7" s="253"/>
      <c r="AE7" s="253"/>
      <c r="AF7" s="253"/>
      <c r="AG7" s="253"/>
      <c r="AH7" s="253"/>
    </row>
    <row r="8" ht="16.5" spans="1:34">
      <c r="A8" s="164"/>
      <c r="B8" s="165"/>
      <c r="C8" s="166"/>
      <c r="D8" s="167"/>
      <c r="E8" s="9"/>
      <c r="F8" s="168"/>
      <c r="G8" s="169"/>
      <c r="H8" s="167"/>
      <c r="I8" s="169"/>
      <c r="J8" s="167"/>
      <c r="K8" s="169"/>
      <c r="L8" s="169"/>
      <c r="M8" s="169"/>
      <c r="N8" s="169"/>
      <c r="O8" s="169"/>
      <c r="Q8" s="194"/>
      <c r="R8" s="195"/>
      <c r="S8" s="194"/>
      <c r="T8" s="194"/>
      <c r="U8" s="196" t="s">
        <v>763</v>
      </c>
      <c r="V8" s="196" t="s">
        <v>764</v>
      </c>
      <c r="W8" s="196" t="s">
        <v>765</v>
      </c>
      <c r="X8" s="200"/>
      <c r="Y8" s="252"/>
      <c r="Z8" s="254" t="s">
        <v>645</v>
      </c>
      <c r="AA8" s="255" t="s">
        <v>757</v>
      </c>
      <c r="AB8" s="254" t="s">
        <v>750</v>
      </c>
      <c r="AC8" s="254" t="s">
        <v>778</v>
      </c>
      <c r="AD8" s="254" t="s">
        <v>779</v>
      </c>
      <c r="AE8" s="255" t="s">
        <v>780</v>
      </c>
      <c r="AF8" s="255"/>
      <c r="AG8" s="254" t="s">
        <v>781</v>
      </c>
      <c r="AH8" s="255" t="s">
        <v>756</v>
      </c>
    </row>
    <row r="9" ht="20.25" spans="1:34">
      <c r="A9" s="164"/>
      <c r="B9" s="165"/>
      <c r="C9" s="166"/>
      <c r="D9" s="167"/>
      <c r="E9" s="9"/>
      <c r="F9" s="168"/>
      <c r="G9" s="169"/>
      <c r="H9" s="167"/>
      <c r="I9" s="169"/>
      <c r="J9" s="167"/>
      <c r="K9" s="169"/>
      <c r="L9" s="169"/>
      <c r="M9" s="169"/>
      <c r="N9" s="169"/>
      <c r="O9" s="169"/>
      <c r="Q9" s="197" t="s">
        <v>782</v>
      </c>
      <c r="R9" s="197"/>
      <c r="S9" s="197"/>
      <c r="T9" s="59">
        <v>0.17</v>
      </c>
      <c r="U9" s="198">
        <v>80.6</v>
      </c>
      <c r="V9" s="198">
        <v>79.6</v>
      </c>
      <c r="W9" s="198">
        <v>80.4</v>
      </c>
      <c r="X9" s="201">
        <f>10*LOG((10^(0.1*U9)+10^(0.1*V9)+10^(0.1*W9)+10^(0.1*U10)+10^(0.1*V10)+10^(0.1*W10)+10^(0.1*U11)+10^(0.1*V11)+10^(0.1*W11))/9)</f>
        <v>80.185866964648</v>
      </c>
      <c r="Y9" s="256">
        <f>10*LOG((10^((X9+10*LOG(T9/8))*0.1))*T12/5)</f>
        <v>64.9207366652937</v>
      </c>
      <c r="Z9" s="254"/>
      <c r="AA9" s="255"/>
      <c r="AB9" s="254"/>
      <c r="AC9" s="257"/>
      <c r="AD9" s="257"/>
      <c r="AE9" s="258" t="s">
        <v>783</v>
      </c>
      <c r="AF9" s="259" t="s">
        <v>761</v>
      </c>
      <c r="AG9" s="254"/>
      <c r="AH9" s="255"/>
    </row>
    <row r="10" ht="16.5" spans="1:34">
      <c r="A10" s="164"/>
      <c r="B10" s="165"/>
      <c r="C10" s="166"/>
      <c r="D10" s="167"/>
      <c r="E10" s="9"/>
      <c r="F10" s="168"/>
      <c r="G10" s="169"/>
      <c r="H10" s="167"/>
      <c r="I10" s="169"/>
      <c r="J10" s="167"/>
      <c r="K10" s="169"/>
      <c r="L10" s="169"/>
      <c r="M10" s="169"/>
      <c r="N10" s="169"/>
      <c r="O10" s="169"/>
      <c r="Q10" s="197"/>
      <c r="R10" s="197"/>
      <c r="S10" s="197"/>
      <c r="T10" s="59"/>
      <c r="U10" s="198">
        <v>80.2</v>
      </c>
      <c r="V10" s="198">
        <v>79.7</v>
      </c>
      <c r="W10" s="198">
        <v>80.5</v>
      </c>
      <c r="X10" s="201"/>
      <c r="Y10" s="256"/>
      <c r="Z10" s="260" t="s">
        <v>784</v>
      </c>
      <c r="AA10" s="261"/>
      <c r="AB10" s="262"/>
      <c r="AC10" s="263">
        <v>2</v>
      </c>
      <c r="AD10" s="264">
        <v>81.7</v>
      </c>
      <c r="AE10" s="265">
        <f>10*LOG((10^(0.1*AD10)+10^(0.1*AD11)+10^(AD12*0.1))/3)</f>
        <v>81.5030695710425</v>
      </c>
      <c r="AF10" s="266">
        <f>10*LOG(AC10/8)+AE10</f>
        <v>75.4824696577629</v>
      </c>
      <c r="AG10" s="265">
        <v>85</v>
      </c>
      <c r="AH10" s="282" t="str">
        <f>IF(AF10&lt;AG10,"符合","不符合")</f>
        <v>符合</v>
      </c>
    </row>
    <row r="11" ht="15.75" spans="1:34">
      <c r="A11" s="170"/>
      <c r="B11" s="171"/>
      <c r="C11" s="172"/>
      <c r="D11" s="173"/>
      <c r="E11" s="174"/>
      <c r="F11" s="175"/>
      <c r="G11" s="176"/>
      <c r="H11" s="173"/>
      <c r="I11" s="176"/>
      <c r="J11" s="173"/>
      <c r="K11" s="176"/>
      <c r="L11" s="176"/>
      <c r="M11" s="176"/>
      <c r="N11" s="176"/>
      <c r="O11" s="176"/>
      <c r="Q11" s="197"/>
      <c r="R11" s="197"/>
      <c r="S11" s="197"/>
      <c r="T11" s="59"/>
      <c r="U11" s="198">
        <v>79.8</v>
      </c>
      <c r="V11" s="198">
        <v>79.9</v>
      </c>
      <c r="W11" s="198">
        <v>80.8</v>
      </c>
      <c r="X11" s="201"/>
      <c r="Y11" s="256"/>
      <c r="Z11" s="267"/>
      <c r="AA11" s="268"/>
      <c r="AB11" s="269"/>
      <c r="AC11" s="270"/>
      <c r="AD11" s="271">
        <v>81.3</v>
      </c>
      <c r="AE11" s="265"/>
      <c r="AF11" s="266"/>
      <c r="AG11" s="265"/>
      <c r="AH11" s="282"/>
    </row>
    <row r="12" ht="15.75" spans="1:34">
      <c r="A12" s="158" t="s">
        <v>785</v>
      </c>
      <c r="B12" s="159"/>
      <c r="C12" s="160"/>
      <c r="D12" s="177">
        <v>0.5</v>
      </c>
      <c r="E12" s="174">
        <v>4.29</v>
      </c>
      <c r="F12" s="163">
        <f>AVERAGE(E12:E16)*D12/8</f>
        <v>0.2190625</v>
      </c>
      <c r="G12" s="178">
        <f>SUM(F12:F26)</f>
        <v>0.6575</v>
      </c>
      <c r="H12" s="162">
        <v>600</v>
      </c>
      <c r="I12" s="178" t="str">
        <f>IF(L12&lt;H12,"符合","不符合")</f>
        <v>符合</v>
      </c>
      <c r="J12" s="162">
        <v>300</v>
      </c>
      <c r="K12" s="178" t="str">
        <f>IF(G12&lt;J12,"符合","不符合")</f>
        <v>符合</v>
      </c>
      <c r="L12" s="178">
        <f>MAX(E12:E26)</f>
        <v>5.38</v>
      </c>
      <c r="M12" s="178">
        <f>J12*3</f>
        <v>900</v>
      </c>
      <c r="N12" s="178">
        <f>J12*5</f>
        <v>1500</v>
      </c>
      <c r="O12" s="178" t="str">
        <f>IF(AND(L12&lt;M12,L12&lt;N12),"符合","不符合")</f>
        <v>符合</v>
      </c>
      <c r="Q12" s="202" t="s">
        <v>786</v>
      </c>
      <c r="R12" s="203"/>
      <c r="S12" s="203"/>
      <c r="T12" s="204">
        <v>7</v>
      </c>
      <c r="U12" s="198"/>
      <c r="V12" s="198"/>
      <c r="W12" s="198"/>
      <c r="X12" s="201">
        <v>79.2</v>
      </c>
      <c r="Y12" s="256">
        <f>10*LOG((10^((X12+10*LOG(T12/8))*0.1))*T12/5)</f>
        <v>80.0813608870055</v>
      </c>
      <c r="Z12" s="272"/>
      <c r="AA12" s="273"/>
      <c r="AB12" s="274"/>
      <c r="AC12" s="275"/>
      <c r="AD12" s="264">
        <v>81.5</v>
      </c>
      <c r="AE12" s="265"/>
      <c r="AF12" s="266"/>
      <c r="AG12" s="265"/>
      <c r="AH12" s="282"/>
    </row>
    <row r="13" ht="15" spans="1:34">
      <c r="A13" s="164"/>
      <c r="B13" s="165"/>
      <c r="C13" s="166"/>
      <c r="D13" s="177"/>
      <c r="E13" s="174">
        <v>2.72</v>
      </c>
      <c r="F13" s="169"/>
      <c r="G13" s="179"/>
      <c r="H13" s="168"/>
      <c r="I13" s="179"/>
      <c r="J13" s="168"/>
      <c r="K13" s="179"/>
      <c r="L13" s="179"/>
      <c r="M13" s="179"/>
      <c r="N13" s="179"/>
      <c r="O13" s="179"/>
      <c r="X13" s="201"/>
      <c r="Y13" s="256"/>
      <c r="Z13" s="254" t="s">
        <v>645</v>
      </c>
      <c r="AA13" s="255" t="s">
        <v>757</v>
      </c>
      <c r="AB13" s="254" t="s">
        <v>750</v>
      </c>
      <c r="AC13" s="254" t="s">
        <v>778</v>
      </c>
      <c r="AD13" s="254" t="s">
        <v>779</v>
      </c>
      <c r="AE13" s="255" t="s">
        <v>780</v>
      </c>
      <c r="AF13" s="255"/>
      <c r="AG13" s="254" t="s">
        <v>781</v>
      </c>
      <c r="AH13" s="255" t="s">
        <v>756</v>
      </c>
    </row>
    <row r="14" ht="20.25" spans="1:34">
      <c r="A14" s="164"/>
      <c r="B14" s="165"/>
      <c r="C14" s="166"/>
      <c r="D14" s="177"/>
      <c r="E14" s="174"/>
      <c r="F14" s="169"/>
      <c r="G14" s="179"/>
      <c r="H14" s="168"/>
      <c r="I14" s="179"/>
      <c r="J14" s="168"/>
      <c r="K14" s="179"/>
      <c r="L14" s="179"/>
      <c r="M14" s="179"/>
      <c r="N14" s="179"/>
      <c r="O14" s="179"/>
      <c r="Q14" s="205" t="s">
        <v>787</v>
      </c>
      <c r="R14" s="206"/>
      <c r="T14" s="207" t="s">
        <v>17</v>
      </c>
      <c r="U14" s="208"/>
      <c r="V14" s="208"/>
      <c r="W14" s="208"/>
      <c r="X14" s="201"/>
      <c r="Y14" s="256"/>
      <c r="Z14" s="254"/>
      <c r="AA14" s="255"/>
      <c r="AB14" s="254"/>
      <c r="AC14" s="257"/>
      <c r="AD14" s="257"/>
      <c r="AE14" s="258" t="s">
        <v>783</v>
      </c>
      <c r="AF14" s="259" t="s">
        <v>776</v>
      </c>
      <c r="AG14" s="254"/>
      <c r="AH14" s="255"/>
    </row>
    <row r="15" ht="16.5" spans="1:34">
      <c r="A15" s="164"/>
      <c r="B15" s="165"/>
      <c r="C15" s="166"/>
      <c r="D15" s="177"/>
      <c r="E15" s="174"/>
      <c r="F15" s="169"/>
      <c r="G15" s="179"/>
      <c r="H15" s="168"/>
      <c r="I15" s="179"/>
      <c r="J15" s="168"/>
      <c r="K15" s="179"/>
      <c r="L15" s="179"/>
      <c r="M15" s="179"/>
      <c r="N15" s="179"/>
      <c r="O15" s="179"/>
      <c r="Q15" s="209">
        <v>1.04</v>
      </c>
      <c r="R15" s="210">
        <v>3</v>
      </c>
      <c r="T15" s="211">
        <v>8</v>
      </c>
      <c r="U15" s="15">
        <v>8</v>
      </c>
      <c r="V15" s="15">
        <f t="shared" ref="V15:V19" si="0">T15/U15</f>
        <v>1</v>
      </c>
      <c r="W15" s="15">
        <f>LOG10(V15)</f>
        <v>0</v>
      </c>
      <c r="X15" s="212">
        <f t="shared" ref="X15:X19" si="1">W15*10</f>
        <v>0</v>
      </c>
      <c r="Z15" s="260" t="s">
        <v>788</v>
      </c>
      <c r="AA15" s="261"/>
      <c r="AB15" s="262"/>
      <c r="AC15" s="276">
        <v>0.5</v>
      </c>
      <c r="AD15" s="265">
        <v>91.8</v>
      </c>
      <c r="AE15" s="265">
        <f>10*LOG((10^(0.1*AD15)+10^(0.1*AD16)+10^(AD17*0.1))/3)</f>
        <v>92.3143063786228</v>
      </c>
      <c r="AF15" s="266">
        <f>10*LOG((10^((AE15+10*LOG(AC15/8))*0.1))*AC18/5)</f>
        <v>81.0649190125398</v>
      </c>
      <c r="AG15" s="264">
        <v>85</v>
      </c>
      <c r="AH15" s="282" t="str">
        <f>IF(AF15&lt;AG15,"符合","不符合")</f>
        <v>符合</v>
      </c>
    </row>
    <row r="16" ht="16.5" spans="1:34">
      <c r="A16" s="164"/>
      <c r="B16" s="165"/>
      <c r="C16" s="166"/>
      <c r="D16" s="177"/>
      <c r="E16" s="174"/>
      <c r="F16" s="176"/>
      <c r="G16" s="179"/>
      <c r="H16" s="168"/>
      <c r="I16" s="179"/>
      <c r="J16" s="168"/>
      <c r="K16" s="179"/>
      <c r="L16" s="179"/>
      <c r="M16" s="179"/>
      <c r="N16" s="179"/>
      <c r="O16" s="179"/>
      <c r="Q16" s="81">
        <v>1.04</v>
      </c>
      <c r="R16" s="213">
        <f>(Q15+Q16)*R15/2/8</f>
        <v>0.39</v>
      </c>
      <c r="T16" s="211">
        <v>4</v>
      </c>
      <c r="U16" s="15">
        <v>8</v>
      </c>
      <c r="V16" s="15">
        <f t="shared" si="0"/>
        <v>0.5</v>
      </c>
      <c r="W16" s="15">
        <f t="shared" ref="W15:W19" si="2">LOG10(V16)</f>
        <v>-0.301029995663981</v>
      </c>
      <c r="X16" s="212">
        <f t="shared" si="1"/>
        <v>-3.01029995663981</v>
      </c>
      <c r="Z16" s="267"/>
      <c r="AA16" s="268"/>
      <c r="AB16" s="269"/>
      <c r="AC16" s="277"/>
      <c r="AD16" s="265">
        <v>92.6</v>
      </c>
      <c r="AE16" s="265"/>
      <c r="AF16" s="266"/>
      <c r="AG16" s="264"/>
      <c r="AH16" s="282"/>
    </row>
    <row r="17" ht="16.5" spans="1:34">
      <c r="A17" s="164"/>
      <c r="B17" s="165"/>
      <c r="C17" s="166"/>
      <c r="D17" s="177">
        <v>0.5</v>
      </c>
      <c r="E17" s="174">
        <v>5.38</v>
      </c>
      <c r="F17" s="163">
        <f>AVERAGE(E17:E21)*D17/8</f>
        <v>0.31875</v>
      </c>
      <c r="G17" s="179"/>
      <c r="H17" s="168"/>
      <c r="I17" s="179"/>
      <c r="J17" s="168"/>
      <c r="K17" s="179"/>
      <c r="L17" s="179"/>
      <c r="M17" s="179"/>
      <c r="N17" s="179"/>
      <c r="O17" s="179"/>
      <c r="Q17" s="81">
        <v>1.66</v>
      </c>
      <c r="R17" s="210">
        <f>R15</f>
        <v>3</v>
      </c>
      <c r="T17" s="211">
        <v>79.2</v>
      </c>
      <c r="U17" s="15">
        <v>2</v>
      </c>
      <c r="V17" s="15">
        <f t="shared" si="0"/>
        <v>39.6</v>
      </c>
      <c r="W17" s="15">
        <f t="shared" si="2"/>
        <v>1.59769518592551</v>
      </c>
      <c r="X17" s="212">
        <f t="shared" si="1"/>
        <v>15.9769518592551</v>
      </c>
      <c r="Z17" s="272"/>
      <c r="AA17" s="273"/>
      <c r="AB17" s="274"/>
      <c r="AC17" s="278"/>
      <c r="AD17" s="265">
        <v>92.5</v>
      </c>
      <c r="AE17" s="265"/>
      <c r="AF17" s="266"/>
      <c r="AG17" s="264"/>
      <c r="AH17" s="282"/>
    </row>
    <row r="18" ht="16.5" spans="1:34">
      <c r="A18" s="164"/>
      <c r="B18" s="165"/>
      <c r="C18" s="166"/>
      <c r="D18" s="177"/>
      <c r="E18" s="174">
        <v>4.82</v>
      </c>
      <c r="F18" s="169"/>
      <c r="G18" s="179"/>
      <c r="H18" s="168"/>
      <c r="I18" s="179"/>
      <c r="J18" s="168"/>
      <c r="K18" s="179"/>
      <c r="L18" s="179"/>
      <c r="M18" s="179"/>
      <c r="N18" s="179"/>
      <c r="O18" s="179"/>
      <c r="Q18" s="81">
        <v>1.86</v>
      </c>
      <c r="R18" s="214">
        <f>(Q17+Q18)*R15/8/2</f>
        <v>0.66</v>
      </c>
      <c r="T18" s="211">
        <v>1</v>
      </c>
      <c r="U18" s="15">
        <v>8</v>
      </c>
      <c r="V18" s="15">
        <f t="shared" si="0"/>
        <v>0.125</v>
      </c>
      <c r="W18" s="15">
        <f t="shared" si="2"/>
        <v>-0.903089986991944</v>
      </c>
      <c r="X18" s="212">
        <f t="shared" si="1"/>
        <v>-9.03089986991944</v>
      </c>
      <c r="Z18" s="279" t="s">
        <v>786</v>
      </c>
      <c r="AA18" s="279"/>
      <c r="AB18" s="279"/>
      <c r="AC18" s="265">
        <v>6</v>
      </c>
      <c r="AD18" s="280"/>
      <c r="AE18" s="281"/>
      <c r="AF18" s="280"/>
      <c r="AG18" s="283"/>
      <c r="AH18" s="284"/>
    </row>
    <row r="19" ht="16.5" spans="1:24">
      <c r="A19" s="164"/>
      <c r="B19" s="165"/>
      <c r="C19" s="166"/>
      <c r="D19" s="177"/>
      <c r="E19" s="174"/>
      <c r="F19" s="169"/>
      <c r="G19" s="179"/>
      <c r="H19" s="168"/>
      <c r="I19" s="179"/>
      <c r="J19" s="168"/>
      <c r="K19" s="179"/>
      <c r="L19" s="179"/>
      <c r="M19" s="179"/>
      <c r="N19" s="179"/>
      <c r="O19" s="179"/>
      <c r="Q19" s="81">
        <v>0.96</v>
      </c>
      <c r="R19" s="62">
        <f>R15</f>
        <v>3</v>
      </c>
      <c r="T19" s="215">
        <v>0.5</v>
      </c>
      <c r="U19" s="216">
        <v>8</v>
      </c>
      <c r="V19" s="216">
        <f t="shared" si="0"/>
        <v>0.0625</v>
      </c>
      <c r="W19" s="216">
        <f t="shared" si="2"/>
        <v>-1.20411998265592</v>
      </c>
      <c r="X19" s="217">
        <f t="shared" si="1"/>
        <v>-12.0411998265592</v>
      </c>
    </row>
    <row r="20" ht="16.5" spans="1:18">
      <c r="A20" s="164"/>
      <c r="B20" s="165"/>
      <c r="C20" s="166"/>
      <c r="D20" s="177"/>
      <c r="E20" s="174"/>
      <c r="F20" s="169"/>
      <c r="G20" s="179"/>
      <c r="H20" s="168"/>
      <c r="I20" s="179"/>
      <c r="J20" s="168"/>
      <c r="K20" s="179"/>
      <c r="L20" s="179"/>
      <c r="M20" s="179"/>
      <c r="N20" s="179"/>
      <c r="O20" s="179"/>
      <c r="Q20" s="81">
        <v>1.5</v>
      </c>
      <c r="R20" s="218">
        <f>(Q20+Q19)*R15/2/8</f>
        <v>0.46125</v>
      </c>
    </row>
    <row r="21" ht="16.5" spans="1:21">
      <c r="A21" s="164"/>
      <c r="B21" s="165"/>
      <c r="C21" s="166"/>
      <c r="D21" s="177"/>
      <c r="E21" s="174"/>
      <c r="F21" s="176"/>
      <c r="G21" s="179"/>
      <c r="H21" s="168"/>
      <c r="I21" s="179"/>
      <c r="J21" s="168"/>
      <c r="K21" s="179"/>
      <c r="L21" s="179"/>
      <c r="M21" s="179"/>
      <c r="N21" s="179"/>
      <c r="O21" s="179"/>
      <c r="Q21" s="219">
        <v>0.35</v>
      </c>
      <c r="R21" s="62"/>
      <c r="T21" s="220">
        <v>7</v>
      </c>
      <c r="U21" s="221">
        <f>T21*0.00011+T22*0.64+T23*0.5</f>
        <v>0.11241</v>
      </c>
    </row>
    <row r="22" ht="16.5" spans="1:21">
      <c r="A22" s="164"/>
      <c r="B22" s="165"/>
      <c r="C22" s="166"/>
      <c r="D22" s="177">
        <v>0.5</v>
      </c>
      <c r="E22" s="174">
        <v>2.19</v>
      </c>
      <c r="F22" s="163">
        <f>AVERAGE(E22:E26)*D22/8</f>
        <v>0.1196875</v>
      </c>
      <c r="G22" s="179"/>
      <c r="H22" s="168"/>
      <c r="I22" s="179"/>
      <c r="J22" s="168"/>
      <c r="K22" s="179"/>
      <c r="L22" s="179"/>
      <c r="M22" s="179"/>
      <c r="N22" s="179"/>
      <c r="O22" s="179"/>
      <c r="Q22" s="222">
        <v>0</v>
      </c>
      <c r="R22" s="218"/>
      <c r="T22" s="223">
        <v>0.101</v>
      </c>
      <c r="U22" s="224"/>
    </row>
    <row r="23" ht="16.5" spans="1:21">
      <c r="A23" s="164"/>
      <c r="B23" s="165"/>
      <c r="C23" s="166"/>
      <c r="D23" s="177"/>
      <c r="E23" s="174">
        <v>1.64</v>
      </c>
      <c r="F23" s="169"/>
      <c r="G23" s="179"/>
      <c r="H23" s="168"/>
      <c r="I23" s="179"/>
      <c r="J23" s="168"/>
      <c r="K23" s="179"/>
      <c r="L23" s="179"/>
      <c r="M23" s="179"/>
      <c r="N23" s="179"/>
      <c r="O23" s="179"/>
      <c r="Q23" s="219">
        <v>0.35</v>
      </c>
      <c r="R23" s="62"/>
      <c r="T23" s="223">
        <v>0.094</v>
      </c>
      <c r="U23" s="225"/>
    </row>
    <row r="24" ht="16.5" spans="1:21">
      <c r="A24" s="164"/>
      <c r="B24" s="165"/>
      <c r="C24" s="166"/>
      <c r="D24" s="177"/>
      <c r="E24" s="174"/>
      <c r="F24" s="169"/>
      <c r="G24" s="179"/>
      <c r="H24" s="168"/>
      <c r="I24" s="179"/>
      <c r="J24" s="168"/>
      <c r="K24" s="179"/>
      <c r="L24" s="179"/>
      <c r="M24" s="179"/>
      <c r="N24" s="179"/>
      <c r="O24" s="179"/>
      <c r="Q24" s="219">
        <v>0.21</v>
      </c>
      <c r="R24" s="214"/>
      <c r="T24" s="226" t="s">
        <v>789</v>
      </c>
      <c r="U24" s="227"/>
    </row>
    <row r="25" ht="13.5" spans="1:15">
      <c r="A25" s="164"/>
      <c r="B25" s="165"/>
      <c r="C25" s="166"/>
      <c r="D25" s="177"/>
      <c r="E25" s="174"/>
      <c r="F25" s="169"/>
      <c r="G25" s="179"/>
      <c r="H25" s="168"/>
      <c r="I25" s="179"/>
      <c r="J25" s="168"/>
      <c r="K25" s="179"/>
      <c r="L25" s="179"/>
      <c r="M25" s="179"/>
      <c r="N25" s="179"/>
      <c r="O25" s="179"/>
    </row>
    <row r="26" ht="13.5" spans="1:24">
      <c r="A26" s="170"/>
      <c r="B26" s="171"/>
      <c r="C26" s="172"/>
      <c r="D26" s="177"/>
      <c r="E26" s="174"/>
      <c r="F26" s="176"/>
      <c r="G26" s="180"/>
      <c r="H26" s="175"/>
      <c r="I26" s="180"/>
      <c r="J26" s="175"/>
      <c r="K26" s="180"/>
      <c r="L26" s="180"/>
      <c r="M26" s="180"/>
      <c r="N26" s="180"/>
      <c r="O26" s="180"/>
      <c r="Q26" s="228" t="s">
        <v>790</v>
      </c>
      <c r="R26" s="228"/>
      <c r="S26" s="228"/>
      <c r="T26" s="228"/>
      <c r="U26" s="228"/>
      <c r="V26" s="228"/>
      <c r="W26" s="228"/>
      <c r="X26" s="228"/>
    </row>
    <row r="27" ht="13.5" spans="17:24">
      <c r="Q27" s="229" t="s">
        <v>791</v>
      </c>
      <c r="R27" s="229" t="s">
        <v>792</v>
      </c>
      <c r="S27" s="229" t="s">
        <v>793</v>
      </c>
      <c r="T27" s="230" t="s">
        <v>794</v>
      </c>
      <c r="U27" s="230" t="s">
        <v>795</v>
      </c>
      <c r="V27" s="231" t="s">
        <v>796</v>
      </c>
      <c r="W27" s="232" t="s">
        <v>797</v>
      </c>
      <c r="X27" s="232" t="s">
        <v>798</v>
      </c>
    </row>
    <row r="28" ht="16.5" spans="1:25">
      <c r="A28" s="181" t="s">
        <v>799</v>
      </c>
      <c r="B28" s="15"/>
      <c r="C28" s="15"/>
      <c r="E28" t="s">
        <v>800</v>
      </c>
      <c r="H28" s="64" t="s">
        <v>801</v>
      </c>
      <c r="I28" s="64" t="s">
        <v>769</v>
      </c>
      <c r="J28" s="64"/>
      <c r="K28" s="64"/>
      <c r="Q28" s="6">
        <v>0.81</v>
      </c>
      <c r="R28" s="7">
        <v>0.72</v>
      </c>
      <c r="S28" s="7">
        <v>0.63</v>
      </c>
      <c r="T28" s="233">
        <f t="shared" ref="T28:T30" si="3">AVERAGE(Q28:S28)</f>
        <v>0.72</v>
      </c>
      <c r="U28" s="234">
        <f t="shared" ref="U28:U30" si="4">MAX(Q28:S28)</f>
        <v>0.81</v>
      </c>
      <c r="V28" s="235">
        <v>6</v>
      </c>
      <c r="W28" s="236">
        <f t="shared" ref="W28:W30" si="5">SQRT(V28/8)*T28</f>
        <v>0.623538290724796</v>
      </c>
      <c r="X28" s="236">
        <f t="shared" ref="X28:X30" si="6">SQRT(V28/8)*U28</f>
        <v>0.701480577065395</v>
      </c>
      <c r="Y28" s="186"/>
    </row>
    <row r="29" ht="16.5" spans="1:25">
      <c r="A29" s="181" t="s">
        <v>802</v>
      </c>
      <c r="B29" s="181"/>
      <c r="C29" s="181"/>
      <c r="D29" s="182">
        <v>8</v>
      </c>
      <c r="E29">
        <v>5</v>
      </c>
      <c r="F29" s="182">
        <v>24</v>
      </c>
      <c r="G29" s="182">
        <v>16</v>
      </c>
      <c r="H29" s="183">
        <f>(D29/E29)*((F29-E29)/G29)</f>
        <v>1.9</v>
      </c>
      <c r="I29" s="185" t="s">
        <v>803</v>
      </c>
      <c r="J29" s="185"/>
      <c r="K29">
        <f>H29*8</f>
        <v>15.2</v>
      </c>
      <c r="M29" s="186"/>
      <c r="Q29" s="9">
        <v>0.81</v>
      </c>
      <c r="R29" s="10">
        <v>0.72</v>
      </c>
      <c r="S29" s="10">
        <v>0.88</v>
      </c>
      <c r="T29" s="233">
        <f t="shared" si="3"/>
        <v>0.803333333333333</v>
      </c>
      <c r="U29" s="234">
        <f t="shared" si="4"/>
        <v>0.88</v>
      </c>
      <c r="V29" s="235">
        <v>6</v>
      </c>
      <c r="W29" s="236">
        <f t="shared" si="5"/>
        <v>0.695707074373499</v>
      </c>
      <c r="X29" s="236">
        <f t="shared" si="6"/>
        <v>0.762102355330306</v>
      </c>
      <c r="Y29" s="186"/>
    </row>
    <row r="30" ht="16.5" spans="1:25">
      <c r="A30" s="181" t="s">
        <v>804</v>
      </c>
      <c r="B30" s="181"/>
      <c r="C30" s="181"/>
      <c r="D30" s="182">
        <v>40</v>
      </c>
      <c r="E30">
        <v>72</v>
      </c>
      <c r="F30" s="182">
        <v>168</v>
      </c>
      <c r="G30" s="182">
        <v>128</v>
      </c>
      <c r="H30" s="183">
        <f>(D30/E30)*((F30-E30)/G30)</f>
        <v>0.416666666666667</v>
      </c>
      <c r="I30" s="185" t="s">
        <v>803</v>
      </c>
      <c r="J30" s="185"/>
      <c r="K30">
        <f>H30*8</f>
        <v>3.33333333333333</v>
      </c>
      <c r="Q30" s="9">
        <v>0.78</v>
      </c>
      <c r="R30" s="10">
        <v>1.11</v>
      </c>
      <c r="S30" s="10">
        <v>0.82</v>
      </c>
      <c r="T30" s="233">
        <f t="shared" si="3"/>
        <v>0.903333333333333</v>
      </c>
      <c r="U30" s="234">
        <f t="shared" si="4"/>
        <v>1.11</v>
      </c>
      <c r="V30" s="235">
        <v>6</v>
      </c>
      <c r="W30" s="236">
        <f t="shared" si="5"/>
        <v>0.782309614751943</v>
      </c>
      <c r="X30" s="236">
        <f t="shared" si="6"/>
        <v>0.961288198200727</v>
      </c>
      <c r="Y30" s="186"/>
    </row>
    <row r="31" ht="14.25" spans="17:25">
      <c r="Q31" s="187"/>
      <c r="R31" s="187"/>
      <c r="S31" s="187"/>
      <c r="T31" s="186"/>
      <c r="U31" s="186"/>
      <c r="X31" s="186"/>
      <c r="Y31" s="186"/>
    </row>
    <row r="32" ht="14.25" spans="17:25">
      <c r="Q32" s="187"/>
      <c r="R32" s="187"/>
      <c r="S32" s="187"/>
      <c r="T32" s="186"/>
      <c r="U32" s="186"/>
      <c r="V32" s="186"/>
      <c r="W32" s="186"/>
      <c r="X32" s="186"/>
      <c r="Y32" s="186"/>
    </row>
    <row r="33" ht="15" spans="17:25">
      <c r="Q33" s="187"/>
      <c r="R33" s="187"/>
      <c r="S33" s="187"/>
      <c r="T33" s="186"/>
      <c r="U33" s="186"/>
      <c r="V33" s="186"/>
      <c r="W33" s="186"/>
      <c r="X33" s="186"/>
      <c r="Y33" s="186"/>
    </row>
    <row r="34" ht="15" spans="17:25">
      <c r="Q34" s="237" t="s">
        <v>805</v>
      </c>
      <c r="R34" s="238"/>
      <c r="S34" s="238"/>
      <c r="T34" s="238"/>
      <c r="U34" s="238"/>
      <c r="V34" s="238"/>
      <c r="W34" s="239"/>
      <c r="Y34" s="186"/>
    </row>
    <row r="35" ht="16.5" spans="17:25">
      <c r="Q35" s="220">
        <v>315</v>
      </c>
      <c r="R35" s="50">
        <v>423</v>
      </c>
      <c r="S35" s="50">
        <v>249</v>
      </c>
      <c r="T35" s="50">
        <v>370</v>
      </c>
      <c r="U35" s="50">
        <v>376</v>
      </c>
      <c r="V35" s="50">
        <v>383</v>
      </c>
      <c r="W35" s="240">
        <f>AVERAGE(Q35:V35)</f>
        <v>352.666666666667</v>
      </c>
      <c r="Y35" s="186"/>
    </row>
    <row r="36" ht="16.5" spans="17:25">
      <c r="Q36" s="223">
        <v>272</v>
      </c>
      <c r="R36" s="53">
        <v>319</v>
      </c>
      <c r="S36" s="53">
        <v>210</v>
      </c>
      <c r="T36" s="53">
        <v>390</v>
      </c>
      <c r="U36" s="53">
        <v>379</v>
      </c>
      <c r="V36" s="53">
        <v>393</v>
      </c>
      <c r="W36" s="240">
        <f>AVERAGE(Q36:V36)</f>
        <v>327.166666666667</v>
      </c>
      <c r="Y36" s="186"/>
    </row>
    <row r="37" ht="16.5" spans="17:23">
      <c r="Q37" s="223">
        <v>292</v>
      </c>
      <c r="R37" s="53">
        <v>347</v>
      </c>
      <c r="S37" s="53">
        <v>258</v>
      </c>
      <c r="T37" s="53">
        <v>373</v>
      </c>
      <c r="U37" s="53">
        <v>291</v>
      </c>
      <c r="V37" s="53">
        <v>415</v>
      </c>
      <c r="W37" s="241">
        <f>AVERAGE(Q37:V37)</f>
        <v>329.333333333333</v>
      </c>
    </row>
    <row r="38" ht="14.25" spans="2:21">
      <c r="B38" s="184" t="s">
        <v>806</v>
      </c>
      <c r="Q38" s="187"/>
      <c r="R38" s="187"/>
      <c r="S38" s="187"/>
      <c r="T38" s="186"/>
      <c r="U38" s="186"/>
    </row>
    <row r="39" ht="15" spans="2:21">
      <c r="B39">
        <v>97.8</v>
      </c>
      <c r="C39">
        <f>(B41*15)</f>
        <v>1.5</v>
      </c>
      <c r="Q39" s="187"/>
      <c r="R39" s="187"/>
      <c r="S39" s="187"/>
      <c r="T39" s="186"/>
      <c r="U39" s="186"/>
    </row>
    <row r="40" ht="16.5" spans="2:21">
      <c r="B40">
        <v>23.4</v>
      </c>
      <c r="Q40" s="242" t="s">
        <v>807</v>
      </c>
      <c r="R40" s="243" t="s">
        <v>808</v>
      </c>
      <c r="S40" s="244" t="s">
        <v>809</v>
      </c>
      <c r="T40" s="245" t="s">
        <v>810</v>
      </c>
      <c r="U40" s="245" t="s">
        <v>811</v>
      </c>
    </row>
    <row r="41" ht="16.5" spans="2:21">
      <c r="B41">
        <v>0.1</v>
      </c>
      <c r="Q41" s="220">
        <v>78.6</v>
      </c>
      <c r="R41" s="50">
        <v>4</v>
      </c>
      <c r="S41" s="50">
        <v>6</v>
      </c>
      <c r="T41" s="246">
        <f>Q41+10*LOG(R41/8)</f>
        <v>75.5897000433602</v>
      </c>
      <c r="U41" s="247">
        <f>10*LOG10(10^(T41*0.1)*S41/5)</f>
        <v>76.3815125038364</v>
      </c>
    </row>
    <row r="42" ht="16.5" spans="2:21">
      <c r="B42" s="15" t="s">
        <v>812</v>
      </c>
      <c r="C42" s="15" t="s">
        <v>813</v>
      </c>
      <c r="D42" s="15" t="s">
        <v>814</v>
      </c>
      <c r="E42" s="15" t="s">
        <v>815</v>
      </c>
      <c r="F42" s="15"/>
      <c r="G42" s="15"/>
      <c r="Q42" s="220">
        <v>73.3</v>
      </c>
      <c r="R42" s="50">
        <v>4</v>
      </c>
      <c r="S42" s="50">
        <v>6</v>
      </c>
      <c r="T42" s="246">
        <f>Q42+10*LOG(R41/8)</f>
        <v>70.2897000433602</v>
      </c>
      <c r="U42" s="247">
        <f>10*LOG10(10^(T42*0.1)*S42/5)</f>
        <v>71.0815125038364</v>
      </c>
    </row>
    <row r="43" ht="16.5" spans="2:21">
      <c r="B43" s="15">
        <v>0.1</v>
      </c>
      <c r="C43" s="15">
        <v>15</v>
      </c>
      <c r="D43" s="15">
        <v>97.8</v>
      </c>
      <c r="E43" s="15">
        <v>23.4</v>
      </c>
      <c r="F43" s="15">
        <v>101.325</v>
      </c>
      <c r="G43" s="15">
        <v>293</v>
      </c>
      <c r="H43">
        <v>273</v>
      </c>
      <c r="Q43" s="220">
        <v>73.5</v>
      </c>
      <c r="R43" s="50">
        <v>4</v>
      </c>
      <c r="S43" s="50">
        <v>6</v>
      </c>
      <c r="T43" s="246">
        <f>Q43+10*LOG(R41/8)</f>
        <v>70.4897000433602</v>
      </c>
      <c r="U43" s="247">
        <f t="shared" ref="U42:U49" si="7">10*LOG10(10^(T43*0.1)*S43/5)</f>
        <v>71.2815125038364</v>
      </c>
    </row>
    <row r="44" ht="16.5" spans="2:21">
      <c r="B44" s="184" t="s">
        <v>816</v>
      </c>
      <c r="C44">
        <f>(B43*C43)*(G43*D43)</f>
        <v>42983.1</v>
      </c>
      <c r="Q44" s="220">
        <v>85.2</v>
      </c>
      <c r="R44" s="50">
        <v>4</v>
      </c>
      <c r="S44" s="50">
        <v>6</v>
      </c>
      <c r="T44" s="246">
        <f>Q44+10*LOG(R44/8)</f>
        <v>82.1897000433602</v>
      </c>
      <c r="U44" s="247">
        <f t="shared" si="7"/>
        <v>82.9815125038365</v>
      </c>
    </row>
    <row r="45" ht="16.5" spans="2:21">
      <c r="B45" s="184" t="s">
        <v>817</v>
      </c>
      <c r="C45">
        <f>(273+E43)*F43</f>
        <v>30032.73</v>
      </c>
      <c r="D45" s="182">
        <f>C44/C45</f>
        <v>1.43120855147035</v>
      </c>
      <c r="Q45" s="220">
        <v>85.2</v>
      </c>
      <c r="R45" s="50">
        <v>4</v>
      </c>
      <c r="S45" s="50">
        <v>6</v>
      </c>
      <c r="T45" s="246">
        <f>Q45+10*LOG(R44/8)</f>
        <v>82.1897000433602</v>
      </c>
      <c r="U45" s="247">
        <f t="shared" si="7"/>
        <v>82.9815125038365</v>
      </c>
    </row>
    <row r="46" ht="16.5" spans="17:21">
      <c r="Q46" s="220">
        <v>85.2</v>
      </c>
      <c r="R46" s="50">
        <v>4</v>
      </c>
      <c r="S46" s="50">
        <v>6</v>
      </c>
      <c r="T46" s="246">
        <f>Q46+10*LOG(R44/8)</f>
        <v>82.1897000433602</v>
      </c>
      <c r="U46" s="247">
        <f t="shared" si="7"/>
        <v>82.9815125038365</v>
      </c>
    </row>
    <row r="47" ht="16.5" spans="17:21">
      <c r="Q47" s="220">
        <v>85.2</v>
      </c>
      <c r="R47" s="50">
        <v>4</v>
      </c>
      <c r="S47" s="50">
        <v>6</v>
      </c>
      <c r="T47" s="246">
        <f>Q47+10*LOG(R47/8)</f>
        <v>82.1897000433602</v>
      </c>
      <c r="U47" s="247">
        <f t="shared" si="7"/>
        <v>82.9815125038365</v>
      </c>
    </row>
    <row r="48" ht="16.5" spans="17:21">
      <c r="Q48" s="220">
        <v>85.2</v>
      </c>
      <c r="R48" s="50">
        <v>4</v>
      </c>
      <c r="S48" s="50">
        <v>6</v>
      </c>
      <c r="T48" s="246">
        <f>Q48+10*LOG(R47/8)</f>
        <v>82.1897000433602</v>
      </c>
      <c r="U48" s="247">
        <f t="shared" si="7"/>
        <v>82.9815125038365</v>
      </c>
    </row>
    <row r="49" ht="16.5" spans="17:21">
      <c r="Q49" s="220">
        <v>85.2</v>
      </c>
      <c r="R49" s="50">
        <v>4</v>
      </c>
      <c r="S49" s="50">
        <v>6</v>
      </c>
      <c r="T49" s="246">
        <f>Q49+10*LOG(R47/8)</f>
        <v>82.1897000433602</v>
      </c>
      <c r="U49" s="247">
        <f t="shared" si="7"/>
        <v>82.9815125038365</v>
      </c>
    </row>
    <row r="53" spans="21:21">
      <c r="U53" s="248"/>
    </row>
    <row r="54" spans="18:22">
      <c r="R54" s="248"/>
      <c r="S54" s="248"/>
      <c r="T54" s="248"/>
      <c r="U54" s="248"/>
      <c r="V54" s="248"/>
    </row>
    <row r="55" spans="18:22">
      <c r="R55" s="248"/>
      <c r="S55" s="248"/>
      <c r="T55" s="248"/>
      <c r="U55" s="248"/>
      <c r="V55" s="248"/>
    </row>
  </sheetData>
  <mergeCells count="104">
    <mergeCell ref="A1:O1"/>
    <mergeCell ref="M2:N2"/>
    <mergeCell ref="U2:W2"/>
    <mergeCell ref="M3:N3"/>
    <mergeCell ref="U7:W7"/>
    <mergeCell ref="Z7:AH7"/>
    <mergeCell ref="AE8:AF8"/>
    <mergeCell ref="Q12:S12"/>
    <mergeCell ref="AE13:AF13"/>
    <mergeCell ref="Q14:R14"/>
    <mergeCell ref="Z18:AB18"/>
    <mergeCell ref="T24:U24"/>
    <mergeCell ref="Q26:X26"/>
    <mergeCell ref="A28:C28"/>
    <mergeCell ref="I28:K28"/>
    <mergeCell ref="A29:C29"/>
    <mergeCell ref="I29:J29"/>
    <mergeCell ref="A30:C30"/>
    <mergeCell ref="I30:J30"/>
    <mergeCell ref="Q34:W34"/>
    <mergeCell ref="A2:A4"/>
    <mergeCell ref="B2:B4"/>
    <mergeCell ref="C2:C4"/>
    <mergeCell ref="D2:D4"/>
    <mergeCell ref="D5:D11"/>
    <mergeCell ref="D12:D16"/>
    <mergeCell ref="D17:D21"/>
    <mergeCell ref="D22:D26"/>
    <mergeCell ref="F12:F16"/>
    <mergeCell ref="F17:F21"/>
    <mergeCell ref="F22:F26"/>
    <mergeCell ref="G5:G11"/>
    <mergeCell ref="G12:G26"/>
    <mergeCell ref="H5:H11"/>
    <mergeCell ref="H12:H26"/>
    <mergeCell ref="I5:I11"/>
    <mergeCell ref="I12:I26"/>
    <mergeCell ref="J5:J11"/>
    <mergeCell ref="J12:J26"/>
    <mergeCell ref="K5:K11"/>
    <mergeCell ref="K12:K26"/>
    <mergeCell ref="L2:L3"/>
    <mergeCell ref="L5:L11"/>
    <mergeCell ref="L12:L26"/>
    <mergeCell ref="M5:M11"/>
    <mergeCell ref="M12:M26"/>
    <mergeCell ref="N5:N11"/>
    <mergeCell ref="N12:N26"/>
    <mergeCell ref="O2:O4"/>
    <mergeCell ref="O5:O11"/>
    <mergeCell ref="O12:O26"/>
    <mergeCell ref="Q2:Q3"/>
    <mergeCell ref="Q7:Q8"/>
    <mergeCell ref="R2:R3"/>
    <mergeCell ref="R7:R8"/>
    <mergeCell ref="S2:S3"/>
    <mergeCell ref="S7:S8"/>
    <mergeCell ref="T2:T3"/>
    <mergeCell ref="T4:T6"/>
    <mergeCell ref="T7:T8"/>
    <mergeCell ref="T9:T11"/>
    <mergeCell ref="U21:U23"/>
    <mergeCell ref="X2:X3"/>
    <mergeCell ref="X4:X6"/>
    <mergeCell ref="X7:X8"/>
    <mergeCell ref="X9:X11"/>
    <mergeCell ref="X12:X14"/>
    <mergeCell ref="Y2:Y3"/>
    <mergeCell ref="Y4:Y6"/>
    <mergeCell ref="Y7:Y8"/>
    <mergeCell ref="Y9:Y11"/>
    <mergeCell ref="Y12:Y14"/>
    <mergeCell ref="Z8:Z9"/>
    <mergeCell ref="Z13:Z14"/>
    <mergeCell ref="AA8:AA9"/>
    <mergeCell ref="AA13:AA14"/>
    <mergeCell ref="AB8:AB9"/>
    <mergeCell ref="AB13:AB14"/>
    <mergeCell ref="AC8:AC9"/>
    <mergeCell ref="AC10:AC12"/>
    <mergeCell ref="AC13:AC14"/>
    <mergeCell ref="AC15:AC17"/>
    <mergeCell ref="AD8:AD9"/>
    <mergeCell ref="AD13:AD14"/>
    <mergeCell ref="AE10:AE12"/>
    <mergeCell ref="AE15:AE17"/>
    <mergeCell ref="AF10:AF12"/>
    <mergeCell ref="AF15:AF17"/>
    <mergeCell ref="AG8:AG9"/>
    <mergeCell ref="AG10:AG12"/>
    <mergeCell ref="AG13:AG14"/>
    <mergeCell ref="AG15:AG17"/>
    <mergeCell ref="AH8:AH9"/>
    <mergeCell ref="AH10:AH12"/>
    <mergeCell ref="AH13:AH14"/>
    <mergeCell ref="AH15:AH17"/>
    <mergeCell ref="E2:G3"/>
    <mergeCell ref="H2:K3"/>
    <mergeCell ref="Q4:S6"/>
    <mergeCell ref="A5:C11"/>
    <mergeCell ref="Q9:S11"/>
    <mergeCell ref="A12:C26"/>
    <mergeCell ref="Z10:AB12"/>
    <mergeCell ref="Z15:AB1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zoomScale="130" zoomScaleNormal="130" topLeftCell="A13" workbookViewId="0">
      <selection activeCell="E69" sqref="E69:E87"/>
    </sheetView>
  </sheetViews>
  <sheetFormatPr defaultColWidth="9.14285714285714" defaultRowHeight="12"/>
  <cols>
    <col min="1" max="5" width="32.1428571428571" customWidth="1"/>
    <col min="6" max="6" width="14"/>
    <col min="7" max="7" width="16.2857142857143" customWidth="1"/>
    <col min="8" max="8" width="14.5714285714286" customWidth="1"/>
    <col min="9" max="9" width="13.5047619047619"/>
  </cols>
  <sheetData>
    <row r="1" ht="20.25" spans="1:8">
      <c r="A1" s="106" t="s">
        <v>818</v>
      </c>
      <c r="B1" s="107"/>
      <c r="C1" s="107"/>
      <c r="D1" s="108"/>
      <c r="E1" s="109" t="s">
        <v>7</v>
      </c>
      <c r="G1" s="110" t="s">
        <v>819</v>
      </c>
      <c r="H1" s="111"/>
    </row>
    <row r="2" ht="14.25" spans="1:8">
      <c r="A2" s="112" t="s">
        <v>820</v>
      </c>
      <c r="B2" s="112" t="s">
        <v>821</v>
      </c>
      <c r="C2" s="112" t="s">
        <v>822</v>
      </c>
      <c r="D2" s="112" t="s">
        <v>821</v>
      </c>
      <c r="E2" s="113" t="s">
        <v>823</v>
      </c>
      <c r="G2" s="114" t="s">
        <v>824</v>
      </c>
      <c r="H2" s="115" t="s">
        <v>825</v>
      </c>
    </row>
    <row r="3" ht="15.75" spans="1:8">
      <c r="A3" s="116" t="s">
        <v>826</v>
      </c>
      <c r="B3" s="117">
        <v>11800</v>
      </c>
      <c r="C3" s="116" t="s">
        <v>827</v>
      </c>
      <c r="D3" s="117">
        <v>2465</v>
      </c>
      <c r="E3" s="118"/>
      <c r="G3" s="114" t="s">
        <v>828</v>
      </c>
      <c r="H3" s="115" t="s">
        <v>829</v>
      </c>
    </row>
    <row r="4" ht="15.75" spans="1:8">
      <c r="A4" s="116" t="s">
        <v>830</v>
      </c>
      <c r="B4" s="117"/>
      <c r="C4" s="116" t="s">
        <v>831</v>
      </c>
      <c r="D4" s="117">
        <v>19428</v>
      </c>
      <c r="E4" s="118"/>
      <c r="G4" s="114" t="s">
        <v>832</v>
      </c>
      <c r="H4" s="115" t="s">
        <v>833</v>
      </c>
    </row>
    <row r="5" ht="15.75" spans="1:8">
      <c r="A5" s="116" t="s">
        <v>834</v>
      </c>
      <c r="B5" s="117">
        <f>H11</f>
        <v>650</v>
      </c>
      <c r="C5" s="116" t="s">
        <v>835</v>
      </c>
      <c r="D5" s="117"/>
      <c r="E5" s="118"/>
      <c r="G5" s="114" t="s">
        <v>836</v>
      </c>
      <c r="H5" s="115" t="s">
        <v>837</v>
      </c>
    </row>
    <row r="6" ht="15.75" spans="1:8">
      <c r="A6" s="116" t="s">
        <v>838</v>
      </c>
      <c r="B6" s="117">
        <f>H12</f>
        <v>1400</v>
      </c>
      <c r="C6" s="116" t="s">
        <v>839</v>
      </c>
      <c r="D6" s="117"/>
      <c r="E6" s="118"/>
      <c r="G6" s="114" t="s">
        <v>840</v>
      </c>
      <c r="H6" s="119"/>
    </row>
    <row r="7" ht="16.5" spans="1:8">
      <c r="A7" s="116" t="s">
        <v>841</v>
      </c>
      <c r="B7" s="117"/>
      <c r="C7" s="116" t="s">
        <v>842</v>
      </c>
      <c r="D7" s="117"/>
      <c r="E7" s="118"/>
      <c r="G7" s="120" t="s">
        <v>843</v>
      </c>
      <c r="H7" s="121"/>
    </row>
    <row r="8" ht="15.75" spans="1:5">
      <c r="A8" s="116" t="s">
        <v>844</v>
      </c>
      <c r="B8" s="117"/>
      <c r="C8" s="116" t="s">
        <v>845</v>
      </c>
      <c r="D8" s="117"/>
      <c r="E8" s="118"/>
    </row>
    <row r="9" ht="16.5" spans="1:5">
      <c r="A9" s="116" t="s">
        <v>846</v>
      </c>
      <c r="B9" s="117"/>
      <c r="C9" s="116" t="s">
        <v>847</v>
      </c>
      <c r="D9" s="117"/>
      <c r="E9" s="118"/>
    </row>
    <row r="10" ht="28.5" spans="1:10">
      <c r="A10" s="122" t="s">
        <v>848</v>
      </c>
      <c r="B10" s="123">
        <f>B3/23+B4/39+B5/20+B6/12+B7/18+B8/18.7+B9/27.5</f>
        <v>662.210144927536</v>
      </c>
      <c r="C10" s="122" t="s">
        <v>849</v>
      </c>
      <c r="D10" s="123">
        <f>D3/48+D4/35.5+D5/61+D6/30+D7/38+D8/62+D9/19</f>
        <v>598.62177230047</v>
      </c>
      <c r="E10" s="118"/>
      <c r="G10" s="124"/>
      <c r="H10" s="125"/>
      <c r="I10" s="147" t="s">
        <v>850</v>
      </c>
      <c r="J10" s="15"/>
    </row>
    <row r="11" ht="15.75" spans="1:10">
      <c r="A11" s="112" t="s">
        <v>851</v>
      </c>
      <c r="B11" s="126">
        <f>(D10-B10)/(D10+B10)*100</f>
        <v>-5.04336634869369</v>
      </c>
      <c r="C11" s="126"/>
      <c r="D11" s="126"/>
      <c r="E11" s="118"/>
      <c r="G11" s="127" t="s">
        <v>834</v>
      </c>
      <c r="H11" s="117">
        <v>650</v>
      </c>
      <c r="I11" s="148">
        <f>(H11/40+H12/24)*100.1</f>
        <v>7465.79166666667</v>
      </c>
      <c r="J11" s="15"/>
    </row>
    <row r="12" ht="16.5" spans="1:10">
      <c r="A12" s="116"/>
      <c r="B12" s="128" t="s">
        <v>852</v>
      </c>
      <c r="C12" s="117"/>
      <c r="D12" s="117"/>
      <c r="E12" s="118"/>
      <c r="G12" s="129" t="s">
        <v>838</v>
      </c>
      <c r="H12" s="130">
        <v>1400</v>
      </c>
      <c r="I12" s="149"/>
      <c r="J12" s="15"/>
    </row>
    <row r="13" ht="28.5" spans="1:5">
      <c r="A13" s="131" t="s">
        <v>853</v>
      </c>
      <c r="B13" s="117">
        <v>7450</v>
      </c>
      <c r="C13" s="131" t="s">
        <v>854</v>
      </c>
      <c r="D13" s="132">
        <f>(B5/20+B6/12+B8/18.6+B9/27.5)*50</f>
        <v>7458.33333333333</v>
      </c>
      <c r="E13" s="118"/>
    </row>
    <row r="14" ht="15.75" spans="1:5">
      <c r="A14" s="131" t="s">
        <v>855</v>
      </c>
      <c r="B14" s="133">
        <f>(D13/B13-1)*100</f>
        <v>0.111856823266221</v>
      </c>
      <c r="C14" s="133"/>
      <c r="D14" s="133"/>
      <c r="E14" s="118"/>
    </row>
    <row r="15" ht="15.75" spans="1:5">
      <c r="A15" s="131"/>
      <c r="B15" s="128" t="s">
        <v>852</v>
      </c>
      <c r="C15" s="117"/>
      <c r="D15" s="117"/>
      <c r="E15" s="118"/>
    </row>
    <row r="16" ht="15.75" spans="1:5">
      <c r="A16" s="134" t="s">
        <v>856</v>
      </c>
      <c r="B16" s="135">
        <f>B5*D6/B5/D3</f>
        <v>0</v>
      </c>
      <c r="C16" s="135"/>
      <c r="D16" s="135"/>
      <c r="E16" s="118"/>
    </row>
    <row r="17" ht="15.75" spans="1:5">
      <c r="A17" s="134" t="s">
        <v>857</v>
      </c>
      <c r="B17" s="136">
        <f>3.8/2.4/10000</f>
        <v>0.000158333333333333</v>
      </c>
      <c r="C17" s="136"/>
      <c r="D17" s="136"/>
      <c r="E17" s="118"/>
    </row>
    <row r="18" ht="28.5" spans="1:5">
      <c r="A18" s="137" t="s">
        <v>858</v>
      </c>
      <c r="B18" s="117">
        <v>35163</v>
      </c>
      <c r="C18" s="137" t="s">
        <v>859</v>
      </c>
      <c r="D18" s="138">
        <f>B3+B4+B5+B6+B8+B9+D3+D4+D8+D5*60/122</f>
        <v>35743</v>
      </c>
      <c r="E18" s="118"/>
    </row>
    <row r="19" ht="15.75" spans="1:5">
      <c r="A19" s="139" t="s">
        <v>860</v>
      </c>
      <c r="B19" s="140">
        <f>(D18/B18-1)*100</f>
        <v>1.64946108125017</v>
      </c>
      <c r="C19" s="140"/>
      <c r="D19" s="140"/>
      <c r="E19" s="118"/>
    </row>
    <row r="20" ht="15.75" spans="1:5">
      <c r="A20" s="141" t="s">
        <v>861</v>
      </c>
      <c r="B20" s="128" t="s">
        <v>852</v>
      </c>
      <c r="C20" s="117"/>
      <c r="D20" s="117"/>
      <c r="E20" s="118"/>
    </row>
    <row r="22" ht="12.75"/>
    <row r="23" ht="14.25" spans="1:5">
      <c r="A23" s="106" t="s">
        <v>862</v>
      </c>
      <c r="B23" s="107"/>
      <c r="C23" s="107"/>
      <c r="D23" s="108"/>
      <c r="E23" s="109" t="s">
        <v>7</v>
      </c>
    </row>
    <row r="24" ht="14.25" spans="1:5">
      <c r="A24" s="112" t="s">
        <v>820</v>
      </c>
      <c r="B24" s="112" t="s">
        <v>821</v>
      </c>
      <c r="C24" s="112" t="s">
        <v>822</v>
      </c>
      <c r="D24" s="112" t="s">
        <v>821</v>
      </c>
      <c r="E24" s="113" t="s">
        <v>823</v>
      </c>
    </row>
    <row r="25" ht="15.75" spans="1:5">
      <c r="A25" s="116" t="s">
        <v>826</v>
      </c>
      <c r="B25" s="117">
        <v>11340</v>
      </c>
      <c r="C25" s="116" t="s">
        <v>827</v>
      </c>
      <c r="D25" s="117">
        <v>1728</v>
      </c>
      <c r="E25" s="118"/>
    </row>
    <row r="26" ht="15.75" spans="1:5">
      <c r="A26" s="116" t="s">
        <v>830</v>
      </c>
      <c r="B26" s="117">
        <v>0</v>
      </c>
      <c r="C26" s="116" t="s">
        <v>831</v>
      </c>
      <c r="D26" s="117">
        <v>21359</v>
      </c>
      <c r="E26" s="118"/>
    </row>
    <row r="27" ht="15.75" spans="1:5">
      <c r="A27" s="116" t="s">
        <v>834</v>
      </c>
      <c r="B27" s="117">
        <f>H41</f>
        <v>700</v>
      </c>
      <c r="C27" s="116" t="s">
        <v>835</v>
      </c>
      <c r="D27" s="117"/>
      <c r="E27" s="118"/>
    </row>
    <row r="28" ht="15.75" spans="1:5">
      <c r="A28" s="116" t="s">
        <v>838</v>
      </c>
      <c r="B28" s="117">
        <f>H42</f>
        <v>1700</v>
      </c>
      <c r="C28" s="116" t="s">
        <v>839</v>
      </c>
      <c r="D28" s="117"/>
      <c r="E28" s="118"/>
    </row>
    <row r="29" ht="15.75" spans="1:5">
      <c r="A29" s="116" t="s">
        <v>841</v>
      </c>
      <c r="B29" s="117"/>
      <c r="C29" s="116" t="s">
        <v>842</v>
      </c>
      <c r="D29" s="117"/>
      <c r="E29" s="118"/>
    </row>
    <row r="30" ht="15.75" spans="1:5">
      <c r="A30" s="116" t="s">
        <v>844</v>
      </c>
      <c r="B30" s="117"/>
      <c r="C30" s="116" t="s">
        <v>845</v>
      </c>
      <c r="D30" s="117"/>
      <c r="E30" s="118"/>
    </row>
    <row r="31" ht="15.75" spans="1:5">
      <c r="A31" s="116" t="s">
        <v>846</v>
      </c>
      <c r="B31" s="117"/>
      <c r="C31" s="116" t="s">
        <v>847</v>
      </c>
      <c r="D31" s="117"/>
      <c r="E31" s="118"/>
    </row>
    <row r="32" ht="28.5" spans="1:5">
      <c r="A32" s="142" t="s">
        <v>848</v>
      </c>
      <c r="B32" s="143">
        <f>B25/23+B26/39+B27/20+B28/12+B29/18+B30/18.7+B31/27.5</f>
        <v>669.710144927536</v>
      </c>
      <c r="C32" s="142" t="s">
        <v>849</v>
      </c>
      <c r="D32" s="143">
        <f>D25/48+D26/35.5+D27/61+D28/30+D29/38+D30/62+D31/19</f>
        <v>637.661971830986</v>
      </c>
      <c r="E32" s="118"/>
    </row>
    <row r="33" ht="15.75" spans="1:5">
      <c r="A33" s="144" t="s">
        <v>851</v>
      </c>
      <c r="B33" s="145">
        <f>(D32-B32)/(D32+B32)*100</f>
        <v>-2.45134286449446</v>
      </c>
      <c r="C33" s="145"/>
      <c r="D33" s="145"/>
      <c r="E33" s="118"/>
    </row>
    <row r="34" ht="15.75" spans="1:5">
      <c r="A34" s="146"/>
      <c r="B34" s="128" t="s">
        <v>852</v>
      </c>
      <c r="C34" s="117"/>
      <c r="D34" s="117"/>
      <c r="E34" s="118"/>
    </row>
    <row r="35" ht="28.5" spans="1:5">
      <c r="A35" s="131" t="s">
        <v>853</v>
      </c>
      <c r="B35" s="117">
        <v>8885</v>
      </c>
      <c r="C35" s="131" t="s">
        <v>854</v>
      </c>
      <c r="D35" s="132">
        <f>I41</f>
        <v>8842.16666666667</v>
      </c>
      <c r="E35" s="118"/>
    </row>
    <row r="36" ht="15.75" spans="1:5">
      <c r="A36" s="131" t="s">
        <v>855</v>
      </c>
      <c r="B36" s="133">
        <f>(D35/B35-1)*100</f>
        <v>-0.48208591258676</v>
      </c>
      <c r="C36" s="133"/>
      <c r="D36" s="133"/>
      <c r="E36" s="118"/>
    </row>
    <row r="37" ht="15.75" spans="1:5">
      <c r="A37" s="131"/>
      <c r="B37" s="128" t="s">
        <v>852</v>
      </c>
      <c r="C37" s="117"/>
      <c r="D37" s="117"/>
      <c r="E37" s="118"/>
    </row>
    <row r="38" ht="15.75" spans="1:5">
      <c r="A38" s="134" t="s">
        <v>856</v>
      </c>
      <c r="B38" s="135">
        <f>B27*D28/B27/D25</f>
        <v>0</v>
      </c>
      <c r="C38" s="135"/>
      <c r="D38" s="135"/>
      <c r="E38" s="118"/>
    </row>
    <row r="39" ht="15.75" spans="1:5">
      <c r="A39" s="134" t="s">
        <v>857</v>
      </c>
      <c r="B39" s="136">
        <f>3.8/2.4/10000</f>
        <v>0.000158333333333333</v>
      </c>
      <c r="C39" s="136"/>
      <c r="D39" s="136"/>
      <c r="E39" s="118"/>
    </row>
    <row r="40" ht="28.5" spans="1:9">
      <c r="A40" s="137" t="s">
        <v>858</v>
      </c>
      <c r="B40" s="117">
        <v>38225</v>
      </c>
      <c r="C40" s="137" t="s">
        <v>859</v>
      </c>
      <c r="D40" s="138">
        <f>B25+B26+B27+B28+B30+B31+D25+D26+D30+D27*60/122</f>
        <v>36827</v>
      </c>
      <c r="E40" s="118"/>
      <c r="G40" s="15"/>
      <c r="H40" s="15"/>
      <c r="I40" s="150" t="s">
        <v>850</v>
      </c>
    </row>
    <row r="41" ht="15.75" spans="1:9">
      <c r="A41" s="139" t="s">
        <v>860</v>
      </c>
      <c r="B41" s="140">
        <f>(D40/B40-1)*100</f>
        <v>-3.65729234793983</v>
      </c>
      <c r="C41" s="140"/>
      <c r="D41" s="140"/>
      <c r="E41" s="118"/>
      <c r="G41" s="116" t="s">
        <v>834</v>
      </c>
      <c r="H41" s="117">
        <v>700</v>
      </c>
      <c r="I41" s="151">
        <f>(H41/40+H42/24)*100.1</f>
        <v>8842.16666666667</v>
      </c>
    </row>
    <row r="42" ht="15.75" spans="1:9">
      <c r="A42" s="141" t="s">
        <v>861</v>
      </c>
      <c r="B42" s="128" t="s">
        <v>852</v>
      </c>
      <c r="C42" s="117"/>
      <c r="D42" s="117"/>
      <c r="E42" s="118"/>
      <c r="G42" s="116" t="s">
        <v>838</v>
      </c>
      <c r="H42" s="117">
        <v>1700</v>
      </c>
      <c r="I42" s="151"/>
    </row>
    <row r="45" ht="12.75"/>
    <row r="46" ht="14.25" spans="1:5">
      <c r="A46" s="106" t="s">
        <v>863</v>
      </c>
      <c r="B46" s="107"/>
      <c r="C46" s="107"/>
      <c r="D46" s="108"/>
      <c r="E46" s="109" t="s">
        <v>7</v>
      </c>
    </row>
    <row r="47" ht="14.25" spans="1:5">
      <c r="A47" s="112" t="s">
        <v>820</v>
      </c>
      <c r="B47" s="112" t="s">
        <v>821</v>
      </c>
      <c r="C47" s="112" t="s">
        <v>822</v>
      </c>
      <c r="D47" s="112" t="s">
        <v>821</v>
      </c>
      <c r="E47" s="113" t="s">
        <v>823</v>
      </c>
    </row>
    <row r="48" ht="15.75" spans="1:5">
      <c r="A48" s="116" t="s">
        <v>826</v>
      </c>
      <c r="B48" s="117">
        <v>14560</v>
      </c>
      <c r="C48" s="116" t="s">
        <v>827</v>
      </c>
      <c r="D48" s="117">
        <v>16737</v>
      </c>
      <c r="E48" s="118"/>
    </row>
    <row r="49" ht="15.75" spans="1:5">
      <c r="A49" s="116" t="s">
        <v>830</v>
      </c>
      <c r="B49" s="117"/>
      <c r="C49" s="116" t="s">
        <v>831</v>
      </c>
      <c r="D49" s="117">
        <v>17707</v>
      </c>
      <c r="E49" s="118"/>
    </row>
    <row r="50" ht="15.75" spans="1:5">
      <c r="A50" s="116" t="s">
        <v>834</v>
      </c>
      <c r="B50" s="117">
        <f>H64</f>
        <v>1200</v>
      </c>
      <c r="C50" s="116" t="s">
        <v>835</v>
      </c>
      <c r="D50" s="117"/>
      <c r="E50" s="118"/>
    </row>
    <row r="51" ht="15.75" spans="1:5">
      <c r="A51" s="116" t="s">
        <v>838</v>
      </c>
      <c r="B51" s="117">
        <f>H65</f>
        <v>2700</v>
      </c>
      <c r="C51" s="116" t="s">
        <v>839</v>
      </c>
      <c r="D51" s="117"/>
      <c r="E51" s="118"/>
    </row>
    <row r="52" ht="15.75" spans="1:5">
      <c r="A52" s="116" t="s">
        <v>841</v>
      </c>
      <c r="B52" s="117"/>
      <c r="C52" s="116" t="s">
        <v>842</v>
      </c>
      <c r="D52" s="117"/>
      <c r="E52" s="118"/>
    </row>
    <row r="53" ht="15.75" spans="1:5">
      <c r="A53" s="116" t="s">
        <v>844</v>
      </c>
      <c r="B53" s="117"/>
      <c r="C53" s="116" t="s">
        <v>845</v>
      </c>
      <c r="D53" s="117"/>
      <c r="E53" s="118"/>
    </row>
    <row r="54" ht="15.75" spans="1:5">
      <c r="A54" s="116" t="s">
        <v>846</v>
      </c>
      <c r="B54" s="117"/>
      <c r="C54" s="116" t="s">
        <v>847</v>
      </c>
      <c r="D54" s="117"/>
      <c r="E54" s="118"/>
    </row>
    <row r="55" ht="28.5" spans="1:5">
      <c r="A55" s="142" t="s">
        <v>848</v>
      </c>
      <c r="B55" s="143">
        <f>B48/23+B49/39+B50/20+B51/12+B52/18+B53/18.7+B54/27.5</f>
        <v>918.04347826087</v>
      </c>
      <c r="C55" s="142" t="s">
        <v>849</v>
      </c>
      <c r="D55" s="143">
        <f>D48/48+D49/35.5+D50/61+D51/30+D52/38+D53/62+D54/19</f>
        <v>847.476232394366</v>
      </c>
      <c r="E55" s="118"/>
    </row>
    <row r="56" ht="15.75" spans="1:5">
      <c r="A56" s="144" t="s">
        <v>851</v>
      </c>
      <c r="B56" s="145">
        <f>(D55-B55)/(D55+B55)*100</f>
        <v>-3.9969673201957</v>
      </c>
      <c r="C56" s="145"/>
      <c r="D56" s="145"/>
      <c r="E56" s="118"/>
    </row>
    <row r="57" ht="15.75" spans="1:5">
      <c r="A57" s="146"/>
      <c r="B57" s="128" t="s">
        <v>852</v>
      </c>
      <c r="C57" s="117"/>
      <c r="D57" s="117"/>
      <c r="E57" s="118"/>
    </row>
    <row r="58" ht="28.5" spans="1:5">
      <c r="A58" s="131" t="s">
        <v>853</v>
      </c>
      <c r="B58" s="117">
        <v>14247</v>
      </c>
      <c r="C58" s="131" t="s">
        <v>854</v>
      </c>
      <c r="D58" s="132">
        <f>I64</f>
        <v>14264.25</v>
      </c>
      <c r="E58" s="118"/>
    </row>
    <row r="59" ht="15.75" spans="1:5">
      <c r="A59" s="131" t="s">
        <v>855</v>
      </c>
      <c r="B59" s="133">
        <f>(D58/B58-1)*100</f>
        <v>0.121078121709828</v>
      </c>
      <c r="C59" s="133"/>
      <c r="D59" s="133"/>
      <c r="E59" s="118"/>
    </row>
    <row r="60" ht="15.75" spans="1:5">
      <c r="A60" s="131"/>
      <c r="B60" s="128" t="s">
        <v>852</v>
      </c>
      <c r="C60" s="117"/>
      <c r="D60" s="117"/>
      <c r="E60" s="118"/>
    </row>
    <row r="61" ht="15.75" spans="1:5">
      <c r="A61" s="134" t="s">
        <v>856</v>
      </c>
      <c r="B61" s="135">
        <f>B50*D51/B50/D48</f>
        <v>0</v>
      </c>
      <c r="C61" s="135"/>
      <c r="D61" s="135"/>
      <c r="E61" s="118"/>
    </row>
    <row r="62" ht="15.75" spans="1:5">
      <c r="A62" s="134" t="s">
        <v>857</v>
      </c>
      <c r="B62" s="136">
        <f>3.8/2.4/10000</f>
        <v>0.000158333333333333</v>
      </c>
      <c r="C62" s="136"/>
      <c r="D62" s="136"/>
      <c r="E62" s="118"/>
    </row>
    <row r="63" ht="28.5" spans="1:9">
      <c r="A63" s="137" t="s">
        <v>858</v>
      </c>
      <c r="B63" s="117">
        <v>55020</v>
      </c>
      <c r="C63" s="137" t="s">
        <v>859</v>
      </c>
      <c r="D63" s="138">
        <f>B48+B49+B50+B51+B53+B54+D48+D49+D53+D50*60/122</f>
        <v>52904</v>
      </c>
      <c r="E63" s="118"/>
      <c r="G63" s="15"/>
      <c r="H63" s="15"/>
      <c r="I63" s="150" t="s">
        <v>850</v>
      </c>
    </row>
    <row r="64" ht="15.75" spans="1:9">
      <c r="A64" s="139" t="s">
        <v>860</v>
      </c>
      <c r="B64" s="140">
        <f>(D63/B63-1)*100</f>
        <v>-3.84587422755361</v>
      </c>
      <c r="C64" s="140"/>
      <c r="D64" s="140"/>
      <c r="E64" s="118"/>
      <c r="G64" s="116" t="s">
        <v>834</v>
      </c>
      <c r="H64" s="117">
        <v>1200</v>
      </c>
      <c r="I64" s="151">
        <f>(H64/40+H65/24)*100.1</f>
        <v>14264.25</v>
      </c>
    </row>
    <row r="65" ht="15.75" spans="1:9">
      <c r="A65" s="141" t="s">
        <v>861</v>
      </c>
      <c r="B65" s="128" t="s">
        <v>852</v>
      </c>
      <c r="C65" s="117"/>
      <c r="D65" s="117"/>
      <c r="E65" s="118"/>
      <c r="G65" s="116" t="s">
        <v>838</v>
      </c>
      <c r="H65" s="117">
        <v>2700</v>
      </c>
      <c r="I65" s="151"/>
    </row>
    <row r="67" ht="12.75"/>
    <row r="68" ht="14.25" spans="1:5">
      <c r="A68" s="106" t="s">
        <v>864</v>
      </c>
      <c r="B68" s="107"/>
      <c r="C68" s="107"/>
      <c r="D68" s="108"/>
      <c r="E68" s="109" t="s">
        <v>7</v>
      </c>
    </row>
    <row r="69" ht="14.25" spans="1:5">
      <c r="A69" s="112" t="s">
        <v>820</v>
      </c>
      <c r="B69" s="112" t="s">
        <v>821</v>
      </c>
      <c r="C69" s="112" t="s">
        <v>822</v>
      </c>
      <c r="D69" s="112" t="s">
        <v>821</v>
      </c>
      <c r="E69" s="113" t="s">
        <v>823</v>
      </c>
    </row>
    <row r="70" ht="15.75" spans="1:5">
      <c r="A70" s="116" t="s">
        <v>826</v>
      </c>
      <c r="B70" s="117">
        <v>6690</v>
      </c>
      <c r="C70" s="116" t="s">
        <v>827</v>
      </c>
      <c r="D70" s="117">
        <v>3096</v>
      </c>
      <c r="E70" s="118"/>
    </row>
    <row r="71" ht="15.75" spans="1:5">
      <c r="A71" s="116" t="s">
        <v>830</v>
      </c>
      <c r="B71" s="117"/>
      <c r="C71" s="116" t="s">
        <v>831</v>
      </c>
      <c r="D71" s="117">
        <v>11905</v>
      </c>
      <c r="E71" s="118"/>
    </row>
    <row r="72" ht="15.75" spans="1:5">
      <c r="A72" s="116" t="s">
        <v>834</v>
      </c>
      <c r="B72" s="117">
        <f>H86</f>
        <v>350</v>
      </c>
      <c r="C72" s="116" t="s">
        <v>835</v>
      </c>
      <c r="D72" s="117"/>
      <c r="E72" s="118"/>
    </row>
    <row r="73" ht="15.75" spans="1:5">
      <c r="A73" s="116" t="s">
        <v>838</v>
      </c>
      <c r="B73" s="117">
        <f>H87</f>
        <v>1700</v>
      </c>
      <c r="C73" s="116" t="s">
        <v>839</v>
      </c>
      <c r="D73" s="117"/>
      <c r="E73" s="118"/>
    </row>
    <row r="74" ht="15.75" spans="1:5">
      <c r="A74" s="116" t="s">
        <v>841</v>
      </c>
      <c r="B74" s="117"/>
      <c r="C74" s="116" t="s">
        <v>842</v>
      </c>
      <c r="D74" s="117"/>
      <c r="E74" s="118"/>
    </row>
    <row r="75" ht="15.75" spans="1:5">
      <c r="A75" s="116" t="s">
        <v>844</v>
      </c>
      <c r="B75" s="117"/>
      <c r="C75" s="116" t="s">
        <v>845</v>
      </c>
      <c r="D75" s="117"/>
      <c r="E75" s="118"/>
    </row>
    <row r="76" ht="15.75" spans="1:5">
      <c r="A76" s="116" t="s">
        <v>846</v>
      </c>
      <c r="B76" s="117"/>
      <c r="C76" s="116" t="s">
        <v>847</v>
      </c>
      <c r="D76" s="117"/>
      <c r="E76" s="118"/>
    </row>
    <row r="77" ht="28.5" spans="1:5">
      <c r="A77" s="142" t="s">
        <v>848</v>
      </c>
      <c r="B77" s="143">
        <f>B70/23+B71/39+B72/20+B73/12+B74/18+B75/18.7+B76/27.5</f>
        <v>450.036231884058</v>
      </c>
      <c r="C77" s="142" t="s">
        <v>849</v>
      </c>
      <c r="D77" s="143">
        <f>D70/48+D71/35.5+D72/61+D73/30+D74/38+D75/62+D76/19</f>
        <v>399.852112676056</v>
      </c>
      <c r="E77" s="118"/>
    </row>
    <row r="78" ht="15.75" spans="1:5">
      <c r="A78" s="144" t="s">
        <v>851</v>
      </c>
      <c r="B78" s="145">
        <f>(D77-B77)/(D77+B77)*100</f>
        <v>-5.90478967375132</v>
      </c>
      <c r="C78" s="145"/>
      <c r="D78" s="145"/>
      <c r="E78" s="118"/>
    </row>
    <row r="79" ht="15.75" spans="1:5">
      <c r="A79" s="146"/>
      <c r="B79" s="128" t="s">
        <v>852</v>
      </c>
      <c r="C79" s="117"/>
      <c r="D79" s="117"/>
      <c r="E79" s="118"/>
    </row>
    <row r="80" ht="28.5" spans="1:5">
      <c r="A80" s="131" t="s">
        <v>853</v>
      </c>
      <c r="B80" s="117">
        <v>7831</v>
      </c>
      <c r="C80" s="131" t="s">
        <v>854</v>
      </c>
      <c r="D80" s="132">
        <f>I86</f>
        <v>7966.29166666667</v>
      </c>
      <c r="E80" s="118"/>
    </row>
    <row r="81" ht="15.75" spans="1:5">
      <c r="A81" s="131" t="s">
        <v>855</v>
      </c>
      <c r="B81" s="133">
        <f>(D80/B80-1)*100</f>
        <v>1.72764227642275</v>
      </c>
      <c r="C81" s="133"/>
      <c r="D81" s="133"/>
      <c r="E81" s="118"/>
    </row>
    <row r="82" ht="15.75" spans="1:5">
      <c r="A82" s="131"/>
      <c r="B82" s="128" t="s">
        <v>852</v>
      </c>
      <c r="C82" s="117"/>
      <c r="D82" s="117"/>
      <c r="E82" s="118"/>
    </row>
    <row r="83" ht="15.75" spans="1:5">
      <c r="A83" s="134" t="s">
        <v>856</v>
      </c>
      <c r="B83" s="135">
        <f>B72*D73/B72/D70</f>
        <v>0</v>
      </c>
      <c r="C83" s="135"/>
      <c r="D83" s="135"/>
      <c r="E83" s="118"/>
    </row>
    <row r="84" ht="15.75" spans="1:5">
      <c r="A84" s="134" t="s">
        <v>857</v>
      </c>
      <c r="B84" s="136">
        <f>3.8/2.4/10000</f>
        <v>0.000158333333333333</v>
      </c>
      <c r="C84" s="136"/>
      <c r="D84" s="136"/>
      <c r="E84" s="118"/>
    </row>
    <row r="85" ht="28.5" spans="1:9">
      <c r="A85" s="137" t="s">
        <v>858</v>
      </c>
      <c r="B85" s="117">
        <v>25355</v>
      </c>
      <c r="C85" s="137" t="s">
        <v>859</v>
      </c>
      <c r="D85" s="138">
        <f>B70+B71+B72+B73+B75+B76+D70+D71+D75+D72*60/122</f>
        <v>23741</v>
      </c>
      <c r="E85" s="118"/>
      <c r="G85" s="15"/>
      <c r="H85" s="15"/>
      <c r="I85" s="150" t="s">
        <v>850</v>
      </c>
    </row>
    <row r="86" ht="15.75" spans="1:9">
      <c r="A86" s="139" t="s">
        <v>860</v>
      </c>
      <c r="B86" s="140">
        <f>(D85/B85-1)*100</f>
        <v>-6.36560836126997</v>
      </c>
      <c r="C86" s="140"/>
      <c r="D86" s="140"/>
      <c r="E86" s="118"/>
      <c r="G86" s="116" t="s">
        <v>834</v>
      </c>
      <c r="H86" s="117">
        <v>350</v>
      </c>
      <c r="I86" s="151">
        <f>(H86/40+H87/24)*100.1</f>
        <v>7966.29166666667</v>
      </c>
    </row>
    <row r="87" ht="15.75" spans="1:9">
      <c r="A87" s="141" t="s">
        <v>861</v>
      </c>
      <c r="B87" s="128" t="s">
        <v>852</v>
      </c>
      <c r="C87" s="117"/>
      <c r="D87" s="117"/>
      <c r="E87" s="118"/>
      <c r="G87" s="116" t="s">
        <v>838</v>
      </c>
      <c r="H87" s="117">
        <v>1700</v>
      </c>
      <c r="I87" s="151"/>
    </row>
  </sheetData>
  <mergeCells count="52">
    <mergeCell ref="A1:D1"/>
    <mergeCell ref="B11:D11"/>
    <mergeCell ref="B12:D12"/>
    <mergeCell ref="B14:D14"/>
    <mergeCell ref="B15:D15"/>
    <mergeCell ref="B16:D16"/>
    <mergeCell ref="B17:D17"/>
    <mergeCell ref="B19:D19"/>
    <mergeCell ref="B20:D20"/>
    <mergeCell ref="A23:D23"/>
    <mergeCell ref="B33:D33"/>
    <mergeCell ref="B34:D34"/>
    <mergeCell ref="B36:D36"/>
    <mergeCell ref="B37:D37"/>
    <mergeCell ref="B38:D38"/>
    <mergeCell ref="B39:D39"/>
    <mergeCell ref="B41:D41"/>
    <mergeCell ref="B42:D42"/>
    <mergeCell ref="A46:D46"/>
    <mergeCell ref="B56:D56"/>
    <mergeCell ref="B57:D57"/>
    <mergeCell ref="B59:D59"/>
    <mergeCell ref="B60:D60"/>
    <mergeCell ref="B61:D61"/>
    <mergeCell ref="B62:D62"/>
    <mergeCell ref="B64:D64"/>
    <mergeCell ref="B65:D65"/>
    <mergeCell ref="A68:D68"/>
    <mergeCell ref="B78:D78"/>
    <mergeCell ref="B79:D79"/>
    <mergeCell ref="B81:D81"/>
    <mergeCell ref="B82:D82"/>
    <mergeCell ref="B83:D83"/>
    <mergeCell ref="B84:D84"/>
    <mergeCell ref="B86:D86"/>
    <mergeCell ref="B87:D87"/>
    <mergeCell ref="A11:A12"/>
    <mergeCell ref="A14:A15"/>
    <mergeCell ref="A33:A34"/>
    <mergeCell ref="A36:A37"/>
    <mergeCell ref="A56:A57"/>
    <mergeCell ref="A59:A60"/>
    <mergeCell ref="A78:A79"/>
    <mergeCell ref="A81:A82"/>
    <mergeCell ref="E2:E20"/>
    <mergeCell ref="E24:E42"/>
    <mergeCell ref="E47:E65"/>
    <mergeCell ref="E69:E87"/>
    <mergeCell ref="I11:I12"/>
    <mergeCell ref="I41:I42"/>
    <mergeCell ref="I64:I65"/>
    <mergeCell ref="I86:I8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zoomScale="145" zoomScaleNormal="145" workbookViewId="0">
      <selection activeCell="S61" sqref="S61"/>
    </sheetView>
  </sheetViews>
  <sheetFormatPr defaultColWidth="9.14285714285714" defaultRowHeight="12"/>
  <cols>
    <col min="1" max="1" width="24.5714285714286" customWidth="1"/>
    <col min="2" max="2" width="12.1428571428571" customWidth="1"/>
    <col min="3" max="3" width="19" customWidth="1"/>
    <col min="4" max="4" width="16.4285714285714" customWidth="1"/>
    <col min="5" max="5" width="15.2857142857143" customWidth="1"/>
    <col min="6" max="6" width="13.2857142857143" customWidth="1"/>
    <col min="7" max="7" width="14.2857142857143" customWidth="1"/>
    <col min="13" max="15" width="14.752380952381"/>
    <col min="17" max="20" width="12.8761904761905"/>
  </cols>
  <sheetData>
    <row r="1" ht="12.75" spans="1:19">
      <c r="A1" s="65" t="s">
        <v>865</v>
      </c>
      <c r="B1" s="66"/>
      <c r="C1" s="66"/>
      <c r="D1" s="66"/>
      <c r="E1" s="66"/>
      <c r="F1" s="66"/>
      <c r="G1" s="66"/>
      <c r="I1" s="75" t="s">
        <v>866</v>
      </c>
      <c r="J1" s="76"/>
      <c r="K1" s="76"/>
      <c r="L1" s="76"/>
      <c r="M1" s="76"/>
      <c r="N1" s="76"/>
      <c r="O1" s="77" t="s">
        <v>867</v>
      </c>
      <c r="P1" s="77"/>
      <c r="Q1" s="77"/>
      <c r="R1" s="77"/>
      <c r="S1" s="103"/>
    </row>
    <row r="2" ht="16.5" spans="1:19">
      <c r="A2" s="67">
        <v>0.815972222222222</v>
      </c>
      <c r="B2" s="68">
        <v>60</v>
      </c>
      <c r="C2" s="67">
        <v>0.925</v>
      </c>
      <c r="D2" s="68">
        <v>49</v>
      </c>
      <c r="E2" s="69"/>
      <c r="F2" s="70">
        <f>B2-D2</f>
        <v>11</v>
      </c>
      <c r="G2" s="69"/>
      <c r="I2" s="78">
        <v>66.3</v>
      </c>
      <c r="J2" s="79">
        <v>80.2</v>
      </c>
      <c r="K2" s="79">
        <v>46.3</v>
      </c>
      <c r="L2" s="79">
        <v>70.4</v>
      </c>
      <c r="M2" s="79">
        <v>62</v>
      </c>
      <c r="N2" s="79">
        <v>55.2</v>
      </c>
      <c r="O2" s="80">
        <f>J2-L2</f>
        <v>9.8</v>
      </c>
      <c r="P2" s="80">
        <f>L2-M2</f>
        <v>8.40000000000001</v>
      </c>
      <c r="Q2" s="80">
        <f>M2-N2</f>
        <v>6.8</v>
      </c>
      <c r="R2" s="80">
        <f>N2-K2</f>
        <v>8.90000000000001</v>
      </c>
      <c r="S2" s="104">
        <f>J2-I2</f>
        <v>13.9</v>
      </c>
    </row>
    <row r="3" ht="16.5" spans="1:19">
      <c r="A3" s="71">
        <v>0.815277777777778</v>
      </c>
      <c r="B3" s="72">
        <v>59</v>
      </c>
      <c r="C3" s="71">
        <v>0.925694444444444</v>
      </c>
      <c r="D3" s="72">
        <v>59</v>
      </c>
      <c r="E3" s="73" t="e">
        <f>DATEDIF(A2,A3,"d")&amp;"天"&amp;TEXT((A3-A2),"h小时m分")</f>
        <v>#VALUE!</v>
      </c>
      <c r="F3" s="70">
        <f t="shared" ref="F3:F33" si="0">B3-D3</f>
        <v>0</v>
      </c>
      <c r="G3" s="73" t="str">
        <f>DATEDIF(C2,C3,"d")&amp;"天"&amp;TEXT((C3-C2),"h小时m分")</f>
        <v>0天0小时1分</v>
      </c>
      <c r="I3" s="81">
        <v>65.1</v>
      </c>
      <c r="J3" s="82">
        <v>77.2</v>
      </c>
      <c r="K3" s="82">
        <v>43.1</v>
      </c>
      <c r="L3" s="82">
        <v>69.6</v>
      </c>
      <c r="M3" s="82">
        <v>60.8</v>
      </c>
      <c r="N3" s="82">
        <v>49.6</v>
      </c>
      <c r="O3" s="80">
        <f t="shared" ref="O3:O25" si="1">J3-L3</f>
        <v>7.60000000000001</v>
      </c>
      <c r="P3" s="80">
        <f t="shared" ref="P3:P25" si="2">L3-M3</f>
        <v>8.8</v>
      </c>
      <c r="Q3" s="80">
        <f t="shared" ref="Q3:Q25" si="3">M3-N3</f>
        <v>11.2</v>
      </c>
      <c r="R3" s="80">
        <f t="shared" ref="R3:R25" si="4">N3-K3</f>
        <v>6.5</v>
      </c>
      <c r="S3" s="104">
        <f t="shared" ref="S3:S25" si="5">J3-I3</f>
        <v>12.1</v>
      </c>
    </row>
    <row r="4" ht="16.5" spans="1:19">
      <c r="A4" s="71">
        <v>0.814583333333333</v>
      </c>
      <c r="B4" s="72">
        <v>58</v>
      </c>
      <c r="C4" s="71">
        <v>0.925694444444444</v>
      </c>
      <c r="D4" s="72">
        <v>48</v>
      </c>
      <c r="E4" s="73" t="e">
        <f t="shared" ref="E4:E33" si="6">DATEDIF(A3,A4,"d")&amp;"天"&amp;TEXT((A4-A3),"h小时m分")</f>
        <v>#VALUE!</v>
      </c>
      <c r="F4" s="70">
        <f t="shared" si="0"/>
        <v>10</v>
      </c>
      <c r="G4" s="73" t="str">
        <f>DATEDIF(C3,C4,"d")&amp;"天"&amp;TEXT((C4-C3),"h小时m分")</f>
        <v>0天0小时0分</v>
      </c>
      <c r="I4" s="81">
        <v>67.7</v>
      </c>
      <c r="J4" s="82">
        <v>81.5</v>
      </c>
      <c r="K4" s="82">
        <v>51.5</v>
      </c>
      <c r="L4" s="82">
        <v>71.6</v>
      </c>
      <c r="M4" s="82">
        <v>62.8</v>
      </c>
      <c r="N4" s="82">
        <v>54.6</v>
      </c>
      <c r="O4" s="80">
        <f t="shared" si="1"/>
        <v>9.90000000000001</v>
      </c>
      <c r="P4" s="80">
        <f t="shared" si="2"/>
        <v>8.8</v>
      </c>
      <c r="Q4" s="80">
        <f t="shared" si="3"/>
        <v>8.2</v>
      </c>
      <c r="R4" s="80">
        <f t="shared" si="4"/>
        <v>3.1</v>
      </c>
      <c r="S4" s="104">
        <f t="shared" si="5"/>
        <v>13.8</v>
      </c>
    </row>
    <row r="5" ht="16.5" spans="1:19">
      <c r="A5" s="71">
        <v>0.815972222222222</v>
      </c>
      <c r="B5" s="72">
        <v>60</v>
      </c>
      <c r="C5" s="71">
        <v>0.925</v>
      </c>
      <c r="D5" s="72">
        <v>48</v>
      </c>
      <c r="E5" s="73" t="str">
        <f t="shared" si="6"/>
        <v>0天0小时2分</v>
      </c>
      <c r="F5" s="70">
        <f t="shared" si="0"/>
        <v>12</v>
      </c>
      <c r="G5" s="73" t="e">
        <f>DATEDIF(C4,C5,"d")&amp;"天"&amp;TEXT((C5-C4),"h小时m分")</f>
        <v>#VALUE!</v>
      </c>
      <c r="I5" s="81">
        <v>74</v>
      </c>
      <c r="J5" s="82">
        <v>88.5</v>
      </c>
      <c r="K5" s="82">
        <v>59</v>
      </c>
      <c r="L5" s="82">
        <v>78.2</v>
      </c>
      <c r="M5" s="82">
        <v>69</v>
      </c>
      <c r="N5" s="82">
        <v>63.4</v>
      </c>
      <c r="O5" s="80">
        <f t="shared" si="1"/>
        <v>10.3</v>
      </c>
      <c r="P5" s="80">
        <f t="shared" si="2"/>
        <v>9.2</v>
      </c>
      <c r="Q5" s="80">
        <f t="shared" si="3"/>
        <v>5.6</v>
      </c>
      <c r="R5" s="80">
        <f t="shared" si="4"/>
        <v>4.4</v>
      </c>
      <c r="S5" s="104">
        <f t="shared" si="5"/>
        <v>14.5</v>
      </c>
    </row>
    <row r="6" ht="16.5" spans="1:19">
      <c r="A6" s="71">
        <v>0.742361111111111</v>
      </c>
      <c r="B6" s="72">
        <v>60</v>
      </c>
      <c r="C6" s="71">
        <v>0.989583333333333</v>
      </c>
      <c r="D6" s="72">
        <v>51</v>
      </c>
      <c r="E6" s="73" t="e">
        <f t="shared" si="6"/>
        <v>#VALUE!</v>
      </c>
      <c r="F6" s="70">
        <f t="shared" si="0"/>
        <v>9</v>
      </c>
      <c r="G6" s="73" t="str">
        <f>DATEDIF(C5,C6,"d")&amp;"天"&amp;TEXT((C6-C5),"h小时m分")</f>
        <v>0天1小时33分</v>
      </c>
      <c r="I6" s="81">
        <v>66.3</v>
      </c>
      <c r="J6" s="82">
        <v>82.2</v>
      </c>
      <c r="K6" s="82">
        <v>52.1</v>
      </c>
      <c r="L6" s="82">
        <v>69.2</v>
      </c>
      <c r="M6" s="82">
        <v>63.2</v>
      </c>
      <c r="N6" s="82">
        <v>57.4</v>
      </c>
      <c r="O6" s="80">
        <f t="shared" si="1"/>
        <v>13</v>
      </c>
      <c r="P6" s="80">
        <f t="shared" si="2"/>
        <v>6</v>
      </c>
      <c r="Q6" s="80">
        <f t="shared" si="3"/>
        <v>5.8</v>
      </c>
      <c r="R6" s="80">
        <f t="shared" si="4"/>
        <v>5.3</v>
      </c>
      <c r="S6" s="104">
        <f t="shared" si="5"/>
        <v>15.9</v>
      </c>
    </row>
    <row r="7" ht="16.5" spans="1:19">
      <c r="A7" s="71">
        <v>0.740972222222222</v>
      </c>
      <c r="B7" s="72">
        <v>59</v>
      </c>
      <c r="C7" s="71">
        <v>0.989583333333333</v>
      </c>
      <c r="D7" s="72">
        <v>49</v>
      </c>
      <c r="E7" s="73" t="e">
        <f t="shared" si="6"/>
        <v>#VALUE!</v>
      </c>
      <c r="F7" s="70">
        <f t="shared" si="0"/>
        <v>10</v>
      </c>
      <c r="G7" s="73" t="str">
        <f t="shared" ref="G7:G33" si="7">DATEDIF(C6,C7,"d")&amp;"天"&amp;TEXT((C7-C6),"h小时m分")</f>
        <v>0天0小时0分</v>
      </c>
      <c r="I7" s="81">
        <v>66.5</v>
      </c>
      <c r="J7" s="82">
        <v>84.2</v>
      </c>
      <c r="K7" s="82">
        <v>46.1</v>
      </c>
      <c r="L7" s="82">
        <v>69.4</v>
      </c>
      <c r="M7" s="82">
        <v>60.8</v>
      </c>
      <c r="N7" s="82">
        <v>53.4</v>
      </c>
      <c r="O7" s="80">
        <f t="shared" si="1"/>
        <v>14.8</v>
      </c>
      <c r="P7" s="80">
        <f t="shared" si="2"/>
        <v>8.60000000000001</v>
      </c>
      <c r="Q7" s="80">
        <f t="shared" si="3"/>
        <v>7.4</v>
      </c>
      <c r="R7" s="80">
        <f t="shared" si="4"/>
        <v>7.3</v>
      </c>
      <c r="S7" s="104">
        <f t="shared" si="5"/>
        <v>17.7</v>
      </c>
    </row>
    <row r="8" ht="16.5" spans="1:19">
      <c r="A8" s="71">
        <v>0.740277777777778</v>
      </c>
      <c r="B8" s="72">
        <v>59</v>
      </c>
      <c r="C8" s="71">
        <v>0.990277777777778</v>
      </c>
      <c r="D8" s="72">
        <v>50</v>
      </c>
      <c r="E8" s="73" t="e">
        <f t="shared" si="6"/>
        <v>#VALUE!</v>
      </c>
      <c r="F8" s="70">
        <f t="shared" si="0"/>
        <v>9</v>
      </c>
      <c r="G8" s="73" t="str">
        <f t="shared" si="7"/>
        <v>0天0小时1分</v>
      </c>
      <c r="I8" s="81">
        <v>58.3</v>
      </c>
      <c r="J8" s="82">
        <v>74.3</v>
      </c>
      <c r="K8" s="82">
        <v>48.1</v>
      </c>
      <c r="L8" s="82">
        <v>62</v>
      </c>
      <c r="M8" s="82">
        <v>54.4</v>
      </c>
      <c r="N8" s="82">
        <v>50.2</v>
      </c>
      <c r="O8" s="80">
        <f t="shared" si="1"/>
        <v>12.3</v>
      </c>
      <c r="P8" s="80">
        <f t="shared" si="2"/>
        <v>7.6</v>
      </c>
      <c r="Q8" s="80">
        <f t="shared" si="3"/>
        <v>4.2</v>
      </c>
      <c r="R8" s="80">
        <f t="shared" si="4"/>
        <v>2.1</v>
      </c>
      <c r="S8" s="104">
        <f t="shared" si="5"/>
        <v>16</v>
      </c>
    </row>
    <row r="9" ht="16.5" spans="1:19">
      <c r="A9" s="71">
        <v>0.741666666666667</v>
      </c>
      <c r="B9" s="72">
        <v>56</v>
      </c>
      <c r="C9" s="71">
        <v>0.989583333333333</v>
      </c>
      <c r="D9" s="72">
        <v>50</v>
      </c>
      <c r="E9" s="73" t="str">
        <f t="shared" si="6"/>
        <v>0天0小时2分</v>
      </c>
      <c r="F9" s="70">
        <f t="shared" si="0"/>
        <v>6</v>
      </c>
      <c r="G9" s="73" t="e">
        <f t="shared" si="7"/>
        <v>#VALUE!</v>
      </c>
      <c r="I9" s="81">
        <v>60.1</v>
      </c>
      <c r="J9" s="82">
        <v>76.6</v>
      </c>
      <c r="K9" s="82">
        <v>46.2</v>
      </c>
      <c r="L9" s="82">
        <v>62.2</v>
      </c>
      <c r="M9" s="82">
        <v>53.2</v>
      </c>
      <c r="N9" s="82">
        <v>48.8</v>
      </c>
      <c r="O9" s="80">
        <f t="shared" si="1"/>
        <v>14.4</v>
      </c>
      <c r="P9" s="80">
        <f t="shared" si="2"/>
        <v>9</v>
      </c>
      <c r="Q9" s="80">
        <f t="shared" si="3"/>
        <v>4.40000000000001</v>
      </c>
      <c r="R9" s="80">
        <f t="shared" si="4"/>
        <v>2.59999999999999</v>
      </c>
      <c r="S9" s="104">
        <f t="shared" si="5"/>
        <v>16.5</v>
      </c>
    </row>
    <row r="10" ht="16.5" spans="1:19">
      <c r="A10" s="71">
        <v>0.795833333333333</v>
      </c>
      <c r="B10" s="72">
        <v>62</v>
      </c>
      <c r="C10" s="71">
        <v>0.94375</v>
      </c>
      <c r="D10" s="72">
        <v>53</v>
      </c>
      <c r="E10" s="73" t="str">
        <f t="shared" si="6"/>
        <v>0天1小时18分</v>
      </c>
      <c r="F10" s="70">
        <f t="shared" si="0"/>
        <v>9</v>
      </c>
      <c r="G10" s="73" t="e">
        <f t="shared" si="7"/>
        <v>#VALUE!</v>
      </c>
      <c r="I10" s="81">
        <v>63.6</v>
      </c>
      <c r="J10" s="82">
        <v>77.1</v>
      </c>
      <c r="K10" s="82">
        <v>46.9</v>
      </c>
      <c r="L10" s="82">
        <v>67.2</v>
      </c>
      <c r="M10" s="82">
        <v>55.6</v>
      </c>
      <c r="N10" s="82">
        <v>49.6</v>
      </c>
      <c r="O10" s="80">
        <f t="shared" si="1"/>
        <v>9.89999999999999</v>
      </c>
      <c r="P10" s="80">
        <f t="shared" si="2"/>
        <v>11.6</v>
      </c>
      <c r="Q10" s="80">
        <f t="shared" si="3"/>
        <v>6</v>
      </c>
      <c r="R10" s="80">
        <f t="shared" si="4"/>
        <v>2.7</v>
      </c>
      <c r="S10" s="104">
        <f t="shared" si="5"/>
        <v>13.5</v>
      </c>
    </row>
    <row r="11" ht="16.5" spans="1:19">
      <c r="A11" s="71">
        <v>0.795138888888889</v>
      </c>
      <c r="B11" s="72">
        <v>61</v>
      </c>
      <c r="C11" s="71">
        <v>0.944444444444444</v>
      </c>
      <c r="D11" s="72">
        <v>60</v>
      </c>
      <c r="E11" s="73" t="e">
        <f t="shared" si="6"/>
        <v>#VALUE!</v>
      </c>
      <c r="F11" s="70">
        <f t="shared" si="0"/>
        <v>1</v>
      </c>
      <c r="G11" s="73" t="str">
        <f t="shared" si="7"/>
        <v>0天0小时1分</v>
      </c>
      <c r="I11" s="81">
        <v>65.7</v>
      </c>
      <c r="J11" s="82">
        <v>78.9</v>
      </c>
      <c r="K11" s="82">
        <v>48.2</v>
      </c>
      <c r="L11" s="82">
        <v>70.2</v>
      </c>
      <c r="M11" s="82">
        <v>59.8</v>
      </c>
      <c r="N11" s="82">
        <v>51.6</v>
      </c>
      <c r="O11" s="80">
        <f t="shared" si="1"/>
        <v>8.7</v>
      </c>
      <c r="P11" s="80">
        <f t="shared" si="2"/>
        <v>10.4</v>
      </c>
      <c r="Q11" s="80">
        <f t="shared" si="3"/>
        <v>8.2</v>
      </c>
      <c r="R11" s="80">
        <f t="shared" si="4"/>
        <v>3.4</v>
      </c>
      <c r="S11" s="104">
        <f t="shared" si="5"/>
        <v>13.2</v>
      </c>
    </row>
    <row r="12" ht="16.5" spans="1:19">
      <c r="A12" s="71">
        <v>0.795833333333333</v>
      </c>
      <c r="B12" s="72">
        <v>55</v>
      </c>
      <c r="C12" s="71">
        <v>0.944444444444444</v>
      </c>
      <c r="D12" s="72">
        <v>52</v>
      </c>
      <c r="E12" s="73" t="str">
        <f t="shared" si="6"/>
        <v>0天0小时1分</v>
      </c>
      <c r="F12" s="70">
        <f t="shared" si="0"/>
        <v>3</v>
      </c>
      <c r="G12" s="73" t="str">
        <f t="shared" si="7"/>
        <v>0天0小时0分</v>
      </c>
      <c r="I12" s="81">
        <v>64.4</v>
      </c>
      <c r="J12" s="82">
        <v>80.4</v>
      </c>
      <c r="K12" s="82">
        <v>42.2</v>
      </c>
      <c r="L12" s="82">
        <v>65.4</v>
      </c>
      <c r="M12" s="82">
        <v>50.6</v>
      </c>
      <c r="N12" s="82">
        <v>44.6</v>
      </c>
      <c r="O12" s="80">
        <f t="shared" si="1"/>
        <v>15</v>
      </c>
      <c r="P12" s="80">
        <f t="shared" si="2"/>
        <v>14.8</v>
      </c>
      <c r="Q12" s="80">
        <f t="shared" si="3"/>
        <v>6</v>
      </c>
      <c r="R12" s="80">
        <f t="shared" si="4"/>
        <v>2.4</v>
      </c>
      <c r="S12" s="104">
        <f t="shared" si="5"/>
        <v>16</v>
      </c>
    </row>
    <row r="13" ht="16.5" spans="1:19">
      <c r="A13" s="71">
        <v>0.795138888888889</v>
      </c>
      <c r="B13" s="72">
        <v>60</v>
      </c>
      <c r="C13" s="71">
        <v>0.945138888888889</v>
      </c>
      <c r="D13" s="72">
        <v>53</v>
      </c>
      <c r="E13" s="73" t="e">
        <f t="shared" si="6"/>
        <v>#VALUE!</v>
      </c>
      <c r="F13" s="70">
        <f t="shared" si="0"/>
        <v>7</v>
      </c>
      <c r="G13" s="73" t="str">
        <f t="shared" si="7"/>
        <v>0天0小时1分</v>
      </c>
      <c r="I13" s="81">
        <v>61.2</v>
      </c>
      <c r="J13" s="82">
        <v>82</v>
      </c>
      <c r="K13" s="82">
        <v>42.5</v>
      </c>
      <c r="L13" s="82">
        <v>60</v>
      </c>
      <c r="M13" s="82">
        <v>48.4</v>
      </c>
      <c r="N13" s="82">
        <v>44.8</v>
      </c>
      <c r="O13" s="80">
        <f t="shared" si="1"/>
        <v>22</v>
      </c>
      <c r="P13" s="80">
        <f t="shared" si="2"/>
        <v>11.6</v>
      </c>
      <c r="Q13" s="80">
        <f t="shared" si="3"/>
        <v>3.6</v>
      </c>
      <c r="R13" s="80">
        <f t="shared" si="4"/>
        <v>2.3</v>
      </c>
      <c r="S13" s="104">
        <f t="shared" si="5"/>
        <v>20.8</v>
      </c>
    </row>
    <row r="14" ht="16.5" spans="1:19">
      <c r="A14" s="71">
        <v>0.773611111111111</v>
      </c>
      <c r="B14" s="72">
        <v>57</v>
      </c>
      <c r="C14" s="71">
        <v>0.969444444444444</v>
      </c>
      <c r="D14" s="72">
        <v>51</v>
      </c>
      <c r="E14" s="73" t="e">
        <f t="shared" si="6"/>
        <v>#VALUE!</v>
      </c>
      <c r="F14" s="70">
        <f t="shared" si="0"/>
        <v>6</v>
      </c>
      <c r="G14" s="73" t="str">
        <f t="shared" si="7"/>
        <v>0天0小时35分</v>
      </c>
      <c r="I14" s="81">
        <v>65.2</v>
      </c>
      <c r="J14" s="82">
        <v>83.2</v>
      </c>
      <c r="K14" s="82">
        <v>44.4</v>
      </c>
      <c r="L14" s="82">
        <v>68</v>
      </c>
      <c r="M14" s="82">
        <v>59.4</v>
      </c>
      <c r="N14" s="82">
        <v>50.2</v>
      </c>
      <c r="O14" s="80">
        <f t="shared" si="1"/>
        <v>15.2</v>
      </c>
      <c r="P14" s="80">
        <f t="shared" si="2"/>
        <v>8.6</v>
      </c>
      <c r="Q14" s="80">
        <f t="shared" si="3"/>
        <v>9.2</v>
      </c>
      <c r="R14" s="80">
        <f t="shared" si="4"/>
        <v>5.8</v>
      </c>
      <c r="S14" s="104">
        <f t="shared" si="5"/>
        <v>18</v>
      </c>
    </row>
    <row r="15" ht="16.5" spans="1:19">
      <c r="A15" s="71">
        <v>0.774305555555556</v>
      </c>
      <c r="B15" s="72">
        <v>59</v>
      </c>
      <c r="C15" s="71">
        <v>0.96875</v>
      </c>
      <c r="D15" s="72">
        <v>51</v>
      </c>
      <c r="E15" s="73" t="str">
        <f t="shared" si="6"/>
        <v>0天0小时1分</v>
      </c>
      <c r="F15" s="70">
        <f t="shared" si="0"/>
        <v>8</v>
      </c>
      <c r="G15" s="73" t="e">
        <f t="shared" si="7"/>
        <v>#VALUE!</v>
      </c>
      <c r="I15" s="81">
        <v>63.2</v>
      </c>
      <c r="J15" s="82">
        <v>76.4</v>
      </c>
      <c r="K15" s="82">
        <v>39.4</v>
      </c>
      <c r="L15" s="82">
        <v>68</v>
      </c>
      <c r="M15" s="82">
        <v>58</v>
      </c>
      <c r="N15" s="82">
        <v>45.8</v>
      </c>
      <c r="O15" s="80">
        <f t="shared" si="1"/>
        <v>8.40000000000001</v>
      </c>
      <c r="P15" s="80">
        <f t="shared" si="2"/>
        <v>10</v>
      </c>
      <c r="Q15" s="80">
        <f t="shared" si="3"/>
        <v>12.2</v>
      </c>
      <c r="R15" s="80">
        <f t="shared" si="4"/>
        <v>6.4</v>
      </c>
      <c r="S15" s="104">
        <f t="shared" si="5"/>
        <v>13.2</v>
      </c>
    </row>
    <row r="16" ht="16.5" spans="1:19">
      <c r="A16" s="71">
        <v>0.773611111111111</v>
      </c>
      <c r="B16" s="72">
        <v>59</v>
      </c>
      <c r="C16" s="71">
        <v>0.969444444444444</v>
      </c>
      <c r="D16" s="72">
        <v>50</v>
      </c>
      <c r="E16" s="73" t="e">
        <f t="shared" si="6"/>
        <v>#VALUE!</v>
      </c>
      <c r="F16" s="70">
        <f t="shared" si="0"/>
        <v>9</v>
      </c>
      <c r="G16" s="73" t="str">
        <f t="shared" si="7"/>
        <v>0天0小时1分</v>
      </c>
      <c r="I16" s="81">
        <v>68.8</v>
      </c>
      <c r="J16" s="82">
        <v>83.5</v>
      </c>
      <c r="K16" s="82">
        <v>51.3</v>
      </c>
      <c r="L16" s="82">
        <v>72.4</v>
      </c>
      <c r="M16" s="82">
        <v>65.2</v>
      </c>
      <c r="N16" s="82">
        <v>56.4</v>
      </c>
      <c r="O16" s="80">
        <f t="shared" si="1"/>
        <v>11.1</v>
      </c>
      <c r="P16" s="80">
        <f t="shared" si="2"/>
        <v>7.2</v>
      </c>
      <c r="Q16" s="80">
        <f t="shared" si="3"/>
        <v>8.8</v>
      </c>
      <c r="R16" s="80">
        <f t="shared" si="4"/>
        <v>5.1</v>
      </c>
      <c r="S16" s="104">
        <f t="shared" si="5"/>
        <v>14.7</v>
      </c>
    </row>
    <row r="17" ht="16.5" spans="1:19">
      <c r="A17" s="71">
        <v>0.774305555555556</v>
      </c>
      <c r="B17" s="72">
        <v>61</v>
      </c>
      <c r="C17" s="71">
        <v>0.967361111111111</v>
      </c>
      <c r="D17" s="72">
        <v>50</v>
      </c>
      <c r="E17" s="73" t="str">
        <f t="shared" si="6"/>
        <v>0天0小时1分</v>
      </c>
      <c r="F17" s="70">
        <f t="shared" si="0"/>
        <v>11</v>
      </c>
      <c r="G17" s="73" t="e">
        <f t="shared" si="7"/>
        <v>#VALUE!</v>
      </c>
      <c r="I17" s="81">
        <v>68.2</v>
      </c>
      <c r="J17" s="82">
        <v>79.1</v>
      </c>
      <c r="K17" s="82">
        <v>47.4</v>
      </c>
      <c r="L17" s="82">
        <v>72</v>
      </c>
      <c r="M17" s="82">
        <v>66</v>
      </c>
      <c r="N17" s="82">
        <v>56.6</v>
      </c>
      <c r="O17" s="80">
        <f t="shared" si="1"/>
        <v>7.09999999999999</v>
      </c>
      <c r="P17" s="80">
        <f t="shared" si="2"/>
        <v>6</v>
      </c>
      <c r="Q17" s="80">
        <f t="shared" si="3"/>
        <v>9.4</v>
      </c>
      <c r="R17" s="80">
        <f t="shared" si="4"/>
        <v>9.2</v>
      </c>
      <c r="S17" s="104">
        <f t="shared" si="5"/>
        <v>10.9</v>
      </c>
    </row>
    <row r="18" ht="16.5" spans="1:19">
      <c r="A18" s="74">
        <v>0.529861111111111</v>
      </c>
      <c r="B18" s="10">
        <v>55</v>
      </c>
      <c r="C18" s="74">
        <v>0.00208333333333333</v>
      </c>
      <c r="D18" s="10">
        <v>52</v>
      </c>
      <c r="E18" s="73" t="e">
        <f t="shared" si="6"/>
        <v>#VALUE!</v>
      </c>
      <c r="F18" s="70">
        <f t="shared" si="0"/>
        <v>3</v>
      </c>
      <c r="G18" s="73" t="e">
        <f t="shared" si="7"/>
        <v>#VALUE!</v>
      </c>
      <c r="I18" s="81">
        <v>63.7</v>
      </c>
      <c r="J18" s="82">
        <v>80</v>
      </c>
      <c r="K18" s="82">
        <v>50.1</v>
      </c>
      <c r="L18" s="82">
        <v>67.4</v>
      </c>
      <c r="M18" s="82">
        <v>59.4</v>
      </c>
      <c r="N18" s="82">
        <v>55</v>
      </c>
      <c r="O18" s="80">
        <f t="shared" si="1"/>
        <v>12.6</v>
      </c>
      <c r="P18" s="80">
        <f t="shared" si="2"/>
        <v>8.00000000000001</v>
      </c>
      <c r="Q18" s="80">
        <f t="shared" si="3"/>
        <v>4.4</v>
      </c>
      <c r="R18" s="80">
        <f t="shared" si="4"/>
        <v>4.9</v>
      </c>
      <c r="S18" s="104">
        <f t="shared" si="5"/>
        <v>16.3</v>
      </c>
    </row>
    <row r="19" ht="16.5" spans="1:19">
      <c r="A19" s="74">
        <v>0.542361111111111</v>
      </c>
      <c r="B19" s="10">
        <v>53</v>
      </c>
      <c r="C19" s="74">
        <v>0.0152777777777778</v>
      </c>
      <c r="D19" s="10">
        <v>53</v>
      </c>
      <c r="E19" s="73" t="str">
        <f t="shared" si="6"/>
        <v>0天0小时18分</v>
      </c>
      <c r="F19" s="70">
        <f t="shared" si="0"/>
        <v>0</v>
      </c>
      <c r="G19" s="73" t="str">
        <f t="shared" si="7"/>
        <v>0天0小时19分</v>
      </c>
      <c r="I19" s="81">
        <v>63.7</v>
      </c>
      <c r="J19" s="82">
        <v>85.5</v>
      </c>
      <c r="K19" s="82">
        <v>39.5</v>
      </c>
      <c r="L19" s="82">
        <v>66.2</v>
      </c>
      <c r="M19" s="82">
        <v>55.2</v>
      </c>
      <c r="N19" s="82">
        <v>45</v>
      </c>
      <c r="O19" s="80">
        <f t="shared" si="1"/>
        <v>19.3</v>
      </c>
      <c r="P19" s="80">
        <f t="shared" si="2"/>
        <v>11</v>
      </c>
      <c r="Q19" s="80">
        <f t="shared" si="3"/>
        <v>10.2</v>
      </c>
      <c r="R19" s="80">
        <f t="shared" si="4"/>
        <v>5.5</v>
      </c>
      <c r="S19" s="104">
        <f t="shared" si="5"/>
        <v>21.8</v>
      </c>
    </row>
    <row r="20" ht="16.5" spans="1:19">
      <c r="A20" s="74">
        <v>0.554166666666667</v>
      </c>
      <c r="B20" s="10">
        <v>56</v>
      </c>
      <c r="C20" s="74">
        <v>0.0277777777777778</v>
      </c>
      <c r="D20" s="10">
        <v>51</v>
      </c>
      <c r="E20" s="73" t="str">
        <f t="shared" si="6"/>
        <v>0天0小时17分</v>
      </c>
      <c r="F20" s="70">
        <f t="shared" si="0"/>
        <v>5</v>
      </c>
      <c r="G20" s="73" t="str">
        <f t="shared" si="7"/>
        <v>0天0小时18分</v>
      </c>
      <c r="I20" s="81">
        <v>57.6</v>
      </c>
      <c r="J20" s="82">
        <v>69.5</v>
      </c>
      <c r="K20" s="82">
        <v>47.2</v>
      </c>
      <c r="L20" s="82">
        <v>62.2</v>
      </c>
      <c r="M20" s="82">
        <v>52.4</v>
      </c>
      <c r="N20" s="82">
        <v>49</v>
      </c>
      <c r="O20" s="80">
        <f t="shared" si="1"/>
        <v>7.3</v>
      </c>
      <c r="P20" s="80">
        <f t="shared" si="2"/>
        <v>9.8</v>
      </c>
      <c r="Q20" s="80">
        <f t="shared" si="3"/>
        <v>3.4</v>
      </c>
      <c r="R20" s="80">
        <f t="shared" si="4"/>
        <v>1.8</v>
      </c>
      <c r="S20" s="104">
        <f t="shared" si="5"/>
        <v>11.9</v>
      </c>
    </row>
    <row r="21" ht="16.5" spans="1:19">
      <c r="A21" s="74">
        <v>0.565972222222222</v>
      </c>
      <c r="B21" s="10">
        <v>54</v>
      </c>
      <c r="C21" s="74">
        <v>0.0395833333333333</v>
      </c>
      <c r="D21" s="10">
        <v>52</v>
      </c>
      <c r="E21" s="73" t="str">
        <f t="shared" si="6"/>
        <v>0天0小时17分</v>
      </c>
      <c r="F21" s="70">
        <f t="shared" si="0"/>
        <v>2</v>
      </c>
      <c r="G21" s="73" t="str">
        <f t="shared" si="7"/>
        <v>0天0小时17分</v>
      </c>
      <c r="I21" s="81">
        <v>60.7</v>
      </c>
      <c r="J21" s="82">
        <v>74.8</v>
      </c>
      <c r="K21" s="82">
        <v>44.2</v>
      </c>
      <c r="L21" s="82">
        <v>64.2</v>
      </c>
      <c r="M21" s="82">
        <v>49.4</v>
      </c>
      <c r="N21" s="82">
        <v>45.8</v>
      </c>
      <c r="O21" s="80">
        <f t="shared" si="1"/>
        <v>10.6</v>
      </c>
      <c r="P21" s="80">
        <f t="shared" si="2"/>
        <v>14.8</v>
      </c>
      <c r="Q21" s="80">
        <f t="shared" si="3"/>
        <v>3.6</v>
      </c>
      <c r="R21" s="80">
        <f t="shared" si="4"/>
        <v>1.59999999999999</v>
      </c>
      <c r="S21" s="104">
        <f t="shared" si="5"/>
        <v>14.1</v>
      </c>
    </row>
    <row r="22" ht="16.5" spans="1:19">
      <c r="A22" s="74">
        <v>0.709722222222222</v>
      </c>
      <c r="B22" s="10">
        <v>54</v>
      </c>
      <c r="C22" s="74">
        <v>0.102777777777778</v>
      </c>
      <c r="D22" s="10">
        <v>52</v>
      </c>
      <c r="E22" s="73" t="str">
        <f t="shared" si="6"/>
        <v>0天3小时27分</v>
      </c>
      <c r="F22" s="70">
        <f t="shared" si="0"/>
        <v>2</v>
      </c>
      <c r="G22" s="73" t="str">
        <f t="shared" si="7"/>
        <v>0天1小时31分</v>
      </c>
      <c r="I22" s="81">
        <v>67.4</v>
      </c>
      <c r="J22" s="82">
        <v>82</v>
      </c>
      <c r="K22" s="82">
        <v>52.8</v>
      </c>
      <c r="L22" s="82">
        <v>71.4</v>
      </c>
      <c r="M22" s="82">
        <v>62.2</v>
      </c>
      <c r="N22" s="82">
        <v>57.2</v>
      </c>
      <c r="O22" s="80">
        <f t="shared" si="1"/>
        <v>10.6</v>
      </c>
      <c r="P22" s="80">
        <f t="shared" si="2"/>
        <v>9.2</v>
      </c>
      <c r="Q22" s="80">
        <f t="shared" si="3"/>
        <v>5</v>
      </c>
      <c r="R22" s="80">
        <f t="shared" si="4"/>
        <v>4.40000000000001</v>
      </c>
      <c r="S22" s="104">
        <f t="shared" si="5"/>
        <v>14.6</v>
      </c>
    </row>
    <row r="23" ht="16.5" spans="1:19">
      <c r="A23" s="74">
        <v>0.722222222222222</v>
      </c>
      <c r="B23" s="10">
        <v>53</v>
      </c>
      <c r="C23" s="74">
        <v>0.114583333333333</v>
      </c>
      <c r="D23" s="10">
        <v>51</v>
      </c>
      <c r="E23" s="73" t="str">
        <f t="shared" si="6"/>
        <v>0天0小时18分</v>
      </c>
      <c r="F23" s="70">
        <f t="shared" si="0"/>
        <v>2</v>
      </c>
      <c r="G23" s="73" t="str">
        <f t="shared" si="7"/>
        <v>0天0小时17分</v>
      </c>
      <c r="I23" s="81">
        <v>71.3</v>
      </c>
      <c r="J23" s="82">
        <v>84.7</v>
      </c>
      <c r="K23" s="82">
        <v>46.4</v>
      </c>
      <c r="L23" s="82">
        <v>76</v>
      </c>
      <c r="M23" s="82">
        <v>65.4</v>
      </c>
      <c r="N23" s="82">
        <v>56.4</v>
      </c>
      <c r="O23" s="80">
        <f t="shared" si="1"/>
        <v>8.7</v>
      </c>
      <c r="P23" s="80">
        <f t="shared" si="2"/>
        <v>10.6</v>
      </c>
      <c r="Q23" s="80">
        <f t="shared" si="3"/>
        <v>9.00000000000001</v>
      </c>
      <c r="R23" s="80">
        <f t="shared" si="4"/>
        <v>10</v>
      </c>
      <c r="S23" s="104">
        <f t="shared" si="5"/>
        <v>13.4</v>
      </c>
    </row>
    <row r="24" ht="16.5" spans="1:19">
      <c r="A24" s="74">
        <v>0.733333333333333</v>
      </c>
      <c r="B24" s="10">
        <v>56</v>
      </c>
      <c r="C24" s="74">
        <v>0.127777777777778</v>
      </c>
      <c r="D24" s="10">
        <v>54</v>
      </c>
      <c r="E24" s="73" t="str">
        <f t="shared" si="6"/>
        <v>0天0小时16分</v>
      </c>
      <c r="F24" s="70">
        <f t="shared" si="0"/>
        <v>2</v>
      </c>
      <c r="G24" s="73" t="str">
        <f t="shared" si="7"/>
        <v>0天0小时19分</v>
      </c>
      <c r="I24" s="81">
        <v>62.5</v>
      </c>
      <c r="J24" s="82">
        <v>82.3</v>
      </c>
      <c r="K24" s="82">
        <v>36.2</v>
      </c>
      <c r="L24" s="82">
        <v>63</v>
      </c>
      <c r="M24" s="82">
        <v>48.4</v>
      </c>
      <c r="N24" s="82">
        <v>40.2</v>
      </c>
      <c r="O24" s="80">
        <f t="shared" si="1"/>
        <v>19.3</v>
      </c>
      <c r="P24" s="80">
        <f t="shared" si="2"/>
        <v>14.6</v>
      </c>
      <c r="Q24" s="80">
        <f t="shared" si="3"/>
        <v>8.2</v>
      </c>
      <c r="R24" s="80">
        <f t="shared" si="4"/>
        <v>4</v>
      </c>
      <c r="S24" s="104">
        <f t="shared" si="5"/>
        <v>19.8</v>
      </c>
    </row>
    <row r="25" ht="16.5" spans="1:19">
      <c r="A25" s="74">
        <v>0.745138888888889</v>
      </c>
      <c r="B25" s="10">
        <v>55</v>
      </c>
      <c r="C25" s="74">
        <v>0.138888888888889</v>
      </c>
      <c r="D25" s="10">
        <v>53</v>
      </c>
      <c r="E25" s="73" t="str">
        <f t="shared" si="6"/>
        <v>0天0小时17分</v>
      </c>
      <c r="F25" s="70">
        <f t="shared" si="0"/>
        <v>2</v>
      </c>
      <c r="G25" s="73" t="str">
        <f t="shared" si="7"/>
        <v>0天0小时16分</v>
      </c>
      <c r="I25" s="81">
        <v>67.3</v>
      </c>
      <c r="J25" s="82">
        <v>83.4</v>
      </c>
      <c r="K25" s="82">
        <v>41.6</v>
      </c>
      <c r="L25" s="82">
        <v>69.4</v>
      </c>
      <c r="M25" s="82">
        <v>54.6</v>
      </c>
      <c r="N25" s="82">
        <v>44.2</v>
      </c>
      <c r="O25" s="83">
        <f t="shared" si="1"/>
        <v>14</v>
      </c>
      <c r="P25" s="83">
        <f t="shared" si="2"/>
        <v>14.8</v>
      </c>
      <c r="Q25" s="83">
        <f t="shared" si="3"/>
        <v>10.4</v>
      </c>
      <c r="R25" s="83">
        <f t="shared" si="4"/>
        <v>2.6</v>
      </c>
      <c r="S25" s="72">
        <f t="shared" si="5"/>
        <v>16.1</v>
      </c>
    </row>
    <row r="26" ht="16.5" spans="1:7">
      <c r="A26" s="74">
        <v>0.342361111111111</v>
      </c>
      <c r="B26" s="10">
        <v>38</v>
      </c>
      <c r="C26" s="74">
        <v>0.0715277777777778</v>
      </c>
      <c r="D26" s="10">
        <v>37</v>
      </c>
      <c r="E26" s="73" t="e">
        <f t="shared" si="6"/>
        <v>#VALUE!</v>
      </c>
      <c r="F26" s="70">
        <f t="shared" si="0"/>
        <v>1</v>
      </c>
      <c r="G26" s="73" t="e">
        <f t="shared" si="7"/>
        <v>#VALUE!</v>
      </c>
    </row>
    <row r="27" ht="21" spans="1:15">
      <c r="A27" s="74">
        <v>0.354166666666667</v>
      </c>
      <c r="B27" s="10">
        <v>37</v>
      </c>
      <c r="C27" s="74">
        <v>0.0854166666666667</v>
      </c>
      <c r="D27" s="10">
        <v>36</v>
      </c>
      <c r="E27" s="73" t="str">
        <f t="shared" si="6"/>
        <v>0天0小时17分</v>
      </c>
      <c r="F27" s="70">
        <f t="shared" si="0"/>
        <v>1</v>
      </c>
      <c r="G27" s="73" t="str">
        <f t="shared" si="7"/>
        <v>0天0小时20分</v>
      </c>
      <c r="I27" s="84" t="s">
        <v>23</v>
      </c>
      <c r="J27" s="84"/>
      <c r="K27" s="84"/>
      <c r="L27" s="84"/>
      <c r="M27" s="84"/>
      <c r="N27" s="84"/>
      <c r="O27" s="84"/>
    </row>
    <row r="28" ht="16.5" spans="1:15">
      <c r="A28" s="74">
        <v>0.365277777777778</v>
      </c>
      <c r="B28" s="10">
        <v>40</v>
      </c>
      <c r="C28" s="74">
        <v>0.0979166666666667</v>
      </c>
      <c r="D28" s="10">
        <v>37</v>
      </c>
      <c r="E28" s="73" t="str">
        <f t="shared" si="6"/>
        <v>0天0小时16分</v>
      </c>
      <c r="F28" s="70">
        <f t="shared" si="0"/>
        <v>3</v>
      </c>
      <c r="G28" s="73" t="str">
        <f t="shared" si="7"/>
        <v>0天0小时18分</v>
      </c>
      <c r="I28" s="85"/>
      <c r="J28" s="85"/>
      <c r="K28" s="85"/>
      <c r="L28" s="85"/>
      <c r="M28" s="86" t="s">
        <v>868</v>
      </c>
      <c r="N28" s="86" t="s">
        <v>869</v>
      </c>
      <c r="O28" s="87" t="s">
        <v>870</v>
      </c>
    </row>
    <row r="29" ht="16.5" spans="1:15">
      <c r="A29" s="74">
        <v>0.376388888888889</v>
      </c>
      <c r="B29" s="10">
        <v>38</v>
      </c>
      <c r="C29" s="74">
        <v>0.109722222222222</v>
      </c>
      <c r="D29" s="10">
        <v>36</v>
      </c>
      <c r="E29" s="73" t="str">
        <f t="shared" si="6"/>
        <v>0天0小时16分</v>
      </c>
      <c r="F29" s="70">
        <f t="shared" si="0"/>
        <v>2</v>
      </c>
      <c r="G29" s="73" t="str">
        <f t="shared" si="7"/>
        <v>0天0小时17分</v>
      </c>
      <c r="I29" s="88">
        <v>70.5</v>
      </c>
      <c r="J29" s="88">
        <v>5.8</v>
      </c>
      <c r="K29" s="88">
        <v>78.1</v>
      </c>
      <c r="L29" s="85"/>
      <c r="M29" s="89">
        <f t="shared" ref="M29:M35" si="8">I29+10*LOG(J29/20)+13</f>
        <v>78.1239799789896</v>
      </c>
      <c r="N29" s="89">
        <f t="shared" ref="N29:N35" si="9">10^(M29/10)</f>
        <v>64922913.018482</v>
      </c>
      <c r="O29" s="90">
        <f t="shared" ref="O29:O35" si="10">10^(I29/10)</f>
        <v>11220184.5430196</v>
      </c>
    </row>
    <row r="30" ht="16.5" spans="1:15">
      <c r="A30" s="74">
        <v>0.583333333333333</v>
      </c>
      <c r="B30" s="10">
        <v>39</v>
      </c>
      <c r="C30" s="74">
        <v>0.00625</v>
      </c>
      <c r="D30" s="10">
        <v>37</v>
      </c>
      <c r="E30" s="73" t="str">
        <f t="shared" si="6"/>
        <v>0天4小时58分</v>
      </c>
      <c r="F30" s="70">
        <f t="shared" si="0"/>
        <v>2</v>
      </c>
      <c r="G30" s="73" t="e">
        <f t="shared" si="7"/>
        <v>#VALUE!</v>
      </c>
      <c r="I30" s="91">
        <v>72.3</v>
      </c>
      <c r="J30" s="91">
        <v>5.1</v>
      </c>
      <c r="K30" s="91">
        <v>79.3</v>
      </c>
      <c r="L30" s="85"/>
      <c r="M30" s="89">
        <f t="shared" si="8"/>
        <v>79.3654018043395</v>
      </c>
      <c r="N30" s="89">
        <f t="shared" si="9"/>
        <v>86405259.8154964</v>
      </c>
      <c r="O30" s="90">
        <f t="shared" si="10"/>
        <v>16982436.5246174</v>
      </c>
    </row>
    <row r="31" ht="16.5" spans="1:15">
      <c r="A31" s="74">
        <v>0.595138888888889</v>
      </c>
      <c r="B31" s="10">
        <v>38</v>
      </c>
      <c r="C31" s="74">
        <v>0.01875</v>
      </c>
      <c r="D31" s="10">
        <v>35</v>
      </c>
      <c r="E31" s="73" t="str">
        <f t="shared" si="6"/>
        <v>0天0小时17分</v>
      </c>
      <c r="F31" s="70">
        <f t="shared" si="0"/>
        <v>3</v>
      </c>
      <c r="G31" s="73" t="str">
        <f t="shared" si="7"/>
        <v>0天0小时18分</v>
      </c>
      <c r="I31" s="91">
        <v>61.4</v>
      </c>
      <c r="J31" s="91">
        <v>33.7</v>
      </c>
      <c r="K31" s="91">
        <v>76.6</v>
      </c>
      <c r="L31" s="85"/>
      <c r="M31" s="89">
        <f t="shared" si="8"/>
        <v>76.6659990520736</v>
      </c>
      <c r="N31" s="89">
        <f t="shared" si="9"/>
        <v>46408753.6512481</v>
      </c>
      <c r="O31" s="90">
        <f t="shared" si="10"/>
        <v>1380384.26460288</v>
      </c>
    </row>
    <row r="32" ht="16.5" spans="1:15">
      <c r="A32" s="74">
        <v>0.607638888888889</v>
      </c>
      <c r="B32" s="10">
        <v>37</v>
      </c>
      <c r="C32" s="74">
        <v>0.03125</v>
      </c>
      <c r="D32" s="10">
        <v>37</v>
      </c>
      <c r="E32" s="73" t="str">
        <f t="shared" si="6"/>
        <v>0天0小时18分</v>
      </c>
      <c r="F32" s="70">
        <f t="shared" si="0"/>
        <v>0</v>
      </c>
      <c r="G32" s="73" t="str">
        <f t="shared" si="7"/>
        <v>0天0小时18分</v>
      </c>
      <c r="I32" s="91">
        <v>70</v>
      </c>
      <c r="J32" s="91">
        <v>12.5</v>
      </c>
      <c r="K32" s="91">
        <v>80.9</v>
      </c>
      <c r="L32" s="85"/>
      <c r="M32" s="89">
        <f t="shared" si="8"/>
        <v>80.9588001734407</v>
      </c>
      <c r="N32" s="89">
        <f t="shared" si="9"/>
        <v>124703894.685555</v>
      </c>
      <c r="O32" s="90">
        <f t="shared" si="10"/>
        <v>10000000</v>
      </c>
    </row>
    <row r="33" ht="16.5" spans="1:15">
      <c r="A33" s="74">
        <v>0.620138888888889</v>
      </c>
      <c r="B33" s="10">
        <v>38</v>
      </c>
      <c r="C33" s="74">
        <v>0.0444444444444444</v>
      </c>
      <c r="D33" s="10">
        <v>37</v>
      </c>
      <c r="E33" s="73" t="str">
        <f t="shared" si="6"/>
        <v>0天0小时18分</v>
      </c>
      <c r="F33" s="70">
        <f t="shared" si="0"/>
        <v>1</v>
      </c>
      <c r="G33" s="73" t="str">
        <f t="shared" si="7"/>
        <v>0天0小时19分</v>
      </c>
      <c r="I33" s="91">
        <v>67.8</v>
      </c>
      <c r="J33" s="91">
        <v>11.6</v>
      </c>
      <c r="K33" s="91">
        <v>78.4</v>
      </c>
      <c r="L33" s="85"/>
      <c r="M33" s="89">
        <f t="shared" si="8"/>
        <v>78.4342799356294</v>
      </c>
      <c r="N33" s="89">
        <f t="shared" si="9"/>
        <v>69731337.20781</v>
      </c>
      <c r="O33" s="90">
        <f t="shared" si="10"/>
        <v>6025595.86074357</v>
      </c>
    </row>
    <row r="34" ht="16.5" spans="9:15">
      <c r="I34" s="91">
        <v>68.2</v>
      </c>
      <c r="J34" s="91">
        <v>2.9</v>
      </c>
      <c r="K34" s="91">
        <v>72.8</v>
      </c>
      <c r="L34" s="85"/>
      <c r="M34" s="89">
        <f t="shared" si="8"/>
        <v>72.8136800223498</v>
      </c>
      <c r="N34" s="89">
        <f t="shared" si="9"/>
        <v>19114722.7090679</v>
      </c>
      <c r="O34" s="90">
        <f t="shared" si="10"/>
        <v>6606934.48007596</v>
      </c>
    </row>
    <row r="35" ht="16.5" spans="9:15">
      <c r="I35" s="91">
        <v>67.3</v>
      </c>
      <c r="J35" s="91">
        <v>6.3</v>
      </c>
      <c r="K35" s="91">
        <v>75.2</v>
      </c>
      <c r="L35" s="85"/>
      <c r="M35" s="89">
        <f t="shared" si="8"/>
        <v>75.283105537896</v>
      </c>
      <c r="N35" s="89">
        <f t="shared" si="9"/>
        <v>33752858.1149846</v>
      </c>
      <c r="O35" s="90">
        <f t="shared" si="10"/>
        <v>5370317.96370252</v>
      </c>
    </row>
    <row r="36" ht="15" spans="9:16">
      <c r="I36" s="85"/>
      <c r="J36" s="85"/>
      <c r="K36" s="85"/>
      <c r="L36" s="85"/>
      <c r="M36" s="92" t="s">
        <v>871</v>
      </c>
      <c r="N36" s="89">
        <f>SUM(N29:N35)</f>
        <v>445039739.202644</v>
      </c>
      <c r="O36" s="93">
        <f>SUM(O29:O35)</f>
        <v>57585853.636762</v>
      </c>
      <c r="P36" s="94" t="s">
        <v>871</v>
      </c>
    </row>
    <row r="37" ht="14.25" spans="9:16">
      <c r="I37" s="85"/>
      <c r="J37" s="85"/>
      <c r="K37" s="85"/>
      <c r="L37" s="85"/>
      <c r="M37" s="95" t="s">
        <v>872</v>
      </c>
      <c r="N37" s="89">
        <f>10*LOG(N36/7)</f>
        <v>78.0330075241805</v>
      </c>
      <c r="O37" s="96">
        <f>10*LOG(O36/7)</f>
        <v>69.1521776906779</v>
      </c>
      <c r="P37" s="97" t="s">
        <v>873</v>
      </c>
    </row>
    <row r="38" ht="14.25" spans="9:16">
      <c r="I38" s="85"/>
      <c r="J38" s="85"/>
      <c r="K38" s="85"/>
      <c r="L38" s="85"/>
      <c r="M38" s="86" t="s">
        <v>874</v>
      </c>
      <c r="N38" s="89">
        <f>N37+10*LOG(7)-39.4</f>
        <v>47.0839879243231</v>
      </c>
      <c r="O38" s="98">
        <f>O37+10*LOG(7)-27</f>
        <v>50.6031580908205</v>
      </c>
      <c r="P38" s="99" t="s">
        <v>874</v>
      </c>
    </row>
    <row r="46" ht="12.75" spans="9:20">
      <c r="I46" s="100" t="s">
        <v>875</v>
      </c>
      <c r="J46" s="100" t="s">
        <v>876</v>
      </c>
      <c r="K46" s="100" t="s">
        <v>877</v>
      </c>
      <c r="L46" s="100" t="s">
        <v>878</v>
      </c>
      <c r="M46" s="101"/>
      <c r="N46" s="100" t="s">
        <v>879</v>
      </c>
      <c r="O46" s="100" t="s">
        <v>880</v>
      </c>
      <c r="P46" s="101"/>
      <c r="Q46" s="100" t="s">
        <v>881</v>
      </c>
      <c r="R46" s="100" t="s">
        <v>882</v>
      </c>
      <c r="S46" s="100" t="s">
        <v>883</v>
      </c>
      <c r="T46" s="100" t="s">
        <v>884</v>
      </c>
    </row>
    <row r="47" ht="16.5" spans="9:20">
      <c r="I47" s="6">
        <v>76.6</v>
      </c>
      <c r="J47" s="6">
        <v>89.9</v>
      </c>
      <c r="K47" s="6">
        <v>115.7</v>
      </c>
      <c r="L47" s="6">
        <v>118.9</v>
      </c>
      <c r="M47" s="102"/>
      <c r="N47" s="6">
        <v>13.35</v>
      </c>
      <c r="O47" s="6">
        <v>12.37</v>
      </c>
      <c r="P47" s="102"/>
      <c r="Q47" s="105">
        <f>I47/(21-N47)*12</f>
        <v>120.156862745098</v>
      </c>
      <c r="R47" s="105">
        <f>J47/(21-O47)*12</f>
        <v>125.005793742758</v>
      </c>
      <c r="S47" s="105">
        <f>K47/(21-N47)*12</f>
        <v>181.490196078431</v>
      </c>
      <c r="T47" s="105">
        <f>L47/(21-O47)*12</f>
        <v>165.330243337196</v>
      </c>
    </row>
    <row r="48" ht="16.5" spans="9:20">
      <c r="I48" s="9">
        <v>79.1</v>
      </c>
      <c r="J48" s="9">
        <v>89.2</v>
      </c>
      <c r="K48" s="9">
        <v>118.3</v>
      </c>
      <c r="L48" s="9">
        <v>119.4</v>
      </c>
      <c r="M48" s="102"/>
      <c r="N48" s="9">
        <v>13.64</v>
      </c>
      <c r="O48" s="9">
        <v>12.43</v>
      </c>
      <c r="P48" s="102"/>
      <c r="Q48" s="105">
        <f t="shared" ref="Q48:Q55" si="11">I48/(21-N48)*12</f>
        <v>128.967391304348</v>
      </c>
      <c r="R48" s="105">
        <f t="shared" ref="R48:R55" si="12">J48/(21-O48)*12</f>
        <v>124.9008168028</v>
      </c>
      <c r="S48" s="105">
        <f t="shared" ref="S48:S55" si="13">K48/(21-N48)*12</f>
        <v>192.880434782609</v>
      </c>
      <c r="T48" s="105">
        <f t="shared" ref="T48:T55" si="14">L48/(21-O48)*12</f>
        <v>167.187864644107</v>
      </c>
    </row>
    <row r="49" ht="16.5" spans="9:20">
      <c r="I49" s="9">
        <v>80.6</v>
      </c>
      <c r="J49" s="9">
        <v>90.6</v>
      </c>
      <c r="K49" s="9">
        <v>126.8</v>
      </c>
      <c r="L49" s="9">
        <v>127.6</v>
      </c>
      <c r="M49" s="102"/>
      <c r="N49" s="9">
        <v>13.87</v>
      </c>
      <c r="O49" s="9">
        <v>12.82</v>
      </c>
      <c r="P49" s="102"/>
      <c r="Q49" s="105">
        <f t="shared" si="11"/>
        <v>135.652173913043</v>
      </c>
      <c r="R49" s="105">
        <f t="shared" si="12"/>
        <v>132.909535452323</v>
      </c>
      <c r="S49" s="105">
        <f t="shared" si="13"/>
        <v>213.408134642356</v>
      </c>
      <c r="T49" s="105">
        <f t="shared" si="14"/>
        <v>187.18826405868</v>
      </c>
    </row>
    <row r="50" ht="16.5" spans="9:20">
      <c r="I50" s="9">
        <v>80.9</v>
      </c>
      <c r="J50" s="9">
        <v>96.4</v>
      </c>
      <c r="K50" s="9">
        <v>126.4</v>
      </c>
      <c r="L50" s="9">
        <v>127.9</v>
      </c>
      <c r="M50" s="102"/>
      <c r="N50" s="9">
        <v>13.85</v>
      </c>
      <c r="O50" s="9">
        <v>12.76</v>
      </c>
      <c r="P50" s="102"/>
      <c r="Q50" s="105">
        <f t="shared" si="11"/>
        <v>135.776223776224</v>
      </c>
      <c r="R50" s="105">
        <f t="shared" si="12"/>
        <v>140.388349514563</v>
      </c>
      <c r="S50" s="105">
        <f t="shared" si="13"/>
        <v>212.13986013986</v>
      </c>
      <c r="T50" s="105">
        <f t="shared" si="14"/>
        <v>186.26213592233</v>
      </c>
    </row>
    <row r="51" ht="16.5" spans="9:20">
      <c r="I51" s="9">
        <v>82.9</v>
      </c>
      <c r="J51" s="9">
        <v>111.5</v>
      </c>
      <c r="K51" s="9">
        <v>127.3</v>
      </c>
      <c r="L51" s="9">
        <v>128.7</v>
      </c>
      <c r="M51" s="102"/>
      <c r="N51" s="9">
        <v>13.94</v>
      </c>
      <c r="O51" s="9">
        <v>12.74</v>
      </c>
      <c r="P51" s="102"/>
      <c r="Q51" s="105">
        <f t="shared" si="11"/>
        <v>140.906515580737</v>
      </c>
      <c r="R51" s="105">
        <f t="shared" si="12"/>
        <v>161.985472154964</v>
      </c>
      <c r="S51" s="105">
        <f t="shared" si="13"/>
        <v>216.373937677054</v>
      </c>
      <c r="T51" s="105">
        <f t="shared" si="14"/>
        <v>186.973365617433</v>
      </c>
    </row>
    <row r="52" ht="16.5" spans="9:20">
      <c r="I52" s="9">
        <v>119.8</v>
      </c>
      <c r="J52" s="9">
        <v>125.5</v>
      </c>
      <c r="K52" s="9">
        <v>123.7</v>
      </c>
      <c r="L52" s="9">
        <v>126.5</v>
      </c>
      <c r="M52" s="102"/>
      <c r="N52" s="9">
        <v>13.82</v>
      </c>
      <c r="O52" s="9">
        <v>14.14</v>
      </c>
      <c r="P52" s="102"/>
      <c r="Q52" s="105">
        <f t="shared" si="11"/>
        <v>200.222841225627</v>
      </c>
      <c r="R52" s="105">
        <f t="shared" si="12"/>
        <v>219.533527696793</v>
      </c>
      <c r="S52" s="105">
        <f t="shared" si="13"/>
        <v>206.740947075209</v>
      </c>
      <c r="T52" s="105">
        <f t="shared" si="14"/>
        <v>221.282798833819</v>
      </c>
    </row>
    <row r="53" ht="16.5" spans="9:20">
      <c r="I53" s="9">
        <v>120.9</v>
      </c>
      <c r="J53" s="9">
        <v>126.3</v>
      </c>
      <c r="K53" s="9">
        <v>123.7</v>
      </c>
      <c r="L53" s="9">
        <v>125.2</v>
      </c>
      <c r="M53" s="102"/>
      <c r="N53" s="9">
        <v>13.74</v>
      </c>
      <c r="O53" s="9">
        <v>12.61</v>
      </c>
      <c r="P53" s="102"/>
      <c r="Q53" s="105">
        <f t="shared" si="11"/>
        <v>199.834710743802</v>
      </c>
      <c r="R53" s="105">
        <f t="shared" si="12"/>
        <v>180.643623361144</v>
      </c>
      <c r="S53" s="105">
        <f t="shared" si="13"/>
        <v>204.462809917355</v>
      </c>
      <c r="T53" s="105">
        <f t="shared" si="14"/>
        <v>179.070321811681</v>
      </c>
    </row>
    <row r="54" ht="16.5" spans="9:20">
      <c r="I54" s="9">
        <v>126.3</v>
      </c>
      <c r="J54" s="9">
        <v>129.5</v>
      </c>
      <c r="K54" s="9">
        <v>121.9</v>
      </c>
      <c r="L54" s="9">
        <v>125.8</v>
      </c>
      <c r="M54" s="102"/>
      <c r="N54" s="9">
        <v>13.68</v>
      </c>
      <c r="O54" s="9">
        <v>12.5</v>
      </c>
      <c r="P54" s="102"/>
      <c r="Q54" s="105">
        <f t="shared" si="11"/>
        <v>207.049180327869</v>
      </c>
      <c r="R54" s="105">
        <f t="shared" si="12"/>
        <v>182.823529411765</v>
      </c>
      <c r="S54" s="105">
        <f t="shared" si="13"/>
        <v>199.83606557377</v>
      </c>
      <c r="T54" s="105">
        <f t="shared" si="14"/>
        <v>177.6</v>
      </c>
    </row>
    <row r="55" ht="16.5" spans="9:20">
      <c r="I55" s="9">
        <v>123.9</v>
      </c>
      <c r="J55" s="9">
        <v>132.5</v>
      </c>
      <c r="K55" s="9">
        <v>122.1</v>
      </c>
      <c r="L55" s="9">
        <v>121.8</v>
      </c>
      <c r="M55" s="102"/>
      <c r="N55" s="9">
        <v>13.75</v>
      </c>
      <c r="O55" s="9">
        <v>12.42</v>
      </c>
      <c r="P55" s="102"/>
      <c r="Q55" s="105">
        <f t="shared" si="11"/>
        <v>205.075862068966</v>
      </c>
      <c r="R55" s="105">
        <f t="shared" si="12"/>
        <v>185.314685314685</v>
      </c>
      <c r="S55" s="105">
        <f t="shared" si="13"/>
        <v>202.096551724138</v>
      </c>
      <c r="T55" s="105">
        <f t="shared" si="14"/>
        <v>170.34965034965</v>
      </c>
    </row>
  </sheetData>
  <mergeCells count="4">
    <mergeCell ref="A1:G1"/>
    <mergeCell ref="I1:N1"/>
    <mergeCell ref="O1:S1"/>
    <mergeCell ref="I27:O2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zoomScale="115" zoomScaleNormal="115" workbookViewId="0">
      <selection activeCell="G47" sqref="G47"/>
    </sheetView>
  </sheetViews>
  <sheetFormatPr defaultColWidth="9.14285714285714" defaultRowHeight="12"/>
  <cols>
    <col min="1" max="4" width="27.1428571428571" customWidth="1"/>
    <col min="5" max="6" width="12.8761904761905"/>
    <col min="7" max="8" width="26.8571428571429" style="15" customWidth="1"/>
    <col min="10" max="10" width="12.8761904761905"/>
    <col min="11" max="11" width="12.8571428571429"/>
    <col min="12" max="14" width="12.8761904761905"/>
    <col min="15" max="15" width="15"/>
    <col min="16" max="16" width="9.79047619047619" customWidth="1"/>
  </cols>
  <sheetData>
    <row r="1" ht="21" customHeight="1" spans="1:9">
      <c r="A1" s="16" t="s">
        <v>885</v>
      </c>
      <c r="B1" s="17"/>
      <c r="C1" s="18" t="s">
        <v>579</v>
      </c>
      <c r="D1" s="18" t="s">
        <v>659</v>
      </c>
      <c r="G1" s="19">
        <v>0.62</v>
      </c>
      <c r="H1" s="20" t="s">
        <v>886</v>
      </c>
      <c r="I1" s="64"/>
    </row>
    <row r="2" ht="21" customHeight="1" spans="1:9">
      <c r="A2" s="21">
        <v>5.76</v>
      </c>
      <c r="B2" s="22">
        <v>5.86</v>
      </c>
      <c r="C2" s="23">
        <f>(A2+B2)/2</f>
        <v>5.81</v>
      </c>
      <c r="D2" s="24">
        <f>(A2-B2)/(A2+B2)</f>
        <v>-0.008605851979346</v>
      </c>
      <c r="G2" s="19">
        <v>0.62</v>
      </c>
      <c r="H2" s="25">
        <f>AVERAGE(G1:G4)</f>
        <v>0.6225</v>
      </c>
      <c r="I2" s="64"/>
    </row>
    <row r="3" ht="21" customHeight="1" spans="1:9">
      <c r="A3" s="21">
        <v>0.05</v>
      </c>
      <c r="B3" s="22">
        <v>0.05</v>
      </c>
      <c r="C3" s="23">
        <f t="shared" ref="C3:C14" si="0">(A3+B3)/2</f>
        <v>0.05</v>
      </c>
      <c r="D3" s="24">
        <f t="shared" ref="D3:D14" si="1">(A3-B3)/(A3+B3)</f>
        <v>0</v>
      </c>
      <c r="G3" s="19">
        <v>0.62</v>
      </c>
      <c r="H3" s="26"/>
      <c r="I3" s="64"/>
    </row>
    <row r="4" ht="21" customHeight="1" spans="1:9">
      <c r="A4" s="21" t="s">
        <v>597</v>
      </c>
      <c r="B4" s="22" t="s">
        <v>597</v>
      </c>
      <c r="C4" s="23" t="e">
        <f t="shared" si="0"/>
        <v>#VALUE!</v>
      </c>
      <c r="D4" s="24" t="e">
        <f t="shared" si="1"/>
        <v>#VALUE!</v>
      </c>
      <c r="G4" s="19">
        <v>0.63</v>
      </c>
      <c r="H4" s="27"/>
      <c r="I4" s="64"/>
    </row>
    <row r="5" ht="21" customHeight="1" spans="1:10">
      <c r="A5" s="21">
        <v>11</v>
      </c>
      <c r="B5" s="22">
        <v>10</v>
      </c>
      <c r="C5" s="23">
        <f t="shared" si="0"/>
        <v>10.5</v>
      </c>
      <c r="D5" s="24">
        <f t="shared" si="1"/>
        <v>0.0476190476190476</v>
      </c>
      <c r="G5" s="19">
        <v>0.63</v>
      </c>
      <c r="H5" s="25">
        <f>AVERAGE(G5:G8)</f>
        <v>0.64</v>
      </c>
      <c r="I5" s="64"/>
      <c r="J5" s="64"/>
    </row>
    <row r="6" ht="21" customHeight="1" spans="1:10">
      <c r="A6" s="21">
        <v>2.7</v>
      </c>
      <c r="B6" s="22">
        <v>2.5</v>
      </c>
      <c r="C6" s="23">
        <f t="shared" si="0"/>
        <v>2.6</v>
      </c>
      <c r="D6" s="24">
        <f t="shared" si="1"/>
        <v>0.0384615384615385</v>
      </c>
      <c r="G6" s="19">
        <v>0.62</v>
      </c>
      <c r="H6" s="26"/>
      <c r="I6" s="64"/>
      <c r="J6" s="64"/>
    </row>
    <row r="7" ht="21" customHeight="1" spans="1:8">
      <c r="A7" s="21">
        <v>0.137</v>
      </c>
      <c r="B7" s="22">
        <v>0.145</v>
      </c>
      <c r="C7" s="23">
        <f t="shared" si="0"/>
        <v>0.141</v>
      </c>
      <c r="D7" s="24">
        <f t="shared" si="1"/>
        <v>-0.0283687943262411</v>
      </c>
      <c r="G7" s="19">
        <v>0.64</v>
      </c>
      <c r="H7" s="26"/>
    </row>
    <row r="8" ht="21" customHeight="1" spans="1:8">
      <c r="A8" s="21">
        <v>16</v>
      </c>
      <c r="B8" s="22">
        <v>15</v>
      </c>
      <c r="C8" s="23">
        <f t="shared" si="0"/>
        <v>15.5</v>
      </c>
      <c r="D8" s="24">
        <f t="shared" si="1"/>
        <v>0.032258064516129</v>
      </c>
      <c r="G8" s="19">
        <v>0.67</v>
      </c>
      <c r="H8" s="27"/>
    </row>
    <row r="9" ht="21" customHeight="1" spans="1:8">
      <c r="A9" s="21">
        <v>10</v>
      </c>
      <c r="B9" s="22">
        <v>10</v>
      </c>
      <c r="C9" s="23">
        <f t="shared" si="0"/>
        <v>10</v>
      </c>
      <c r="D9" s="24">
        <f t="shared" si="1"/>
        <v>0</v>
      </c>
      <c r="G9" s="19">
        <v>0.66</v>
      </c>
      <c r="H9" s="25">
        <f>AVERAGE(G9:G12)</f>
        <v>0.64</v>
      </c>
    </row>
    <row r="10" ht="21" customHeight="1" spans="1:8">
      <c r="A10" s="28">
        <v>12</v>
      </c>
      <c r="B10" s="29">
        <v>12</v>
      </c>
      <c r="C10" s="23">
        <f t="shared" si="0"/>
        <v>12</v>
      </c>
      <c r="D10" s="24">
        <f t="shared" si="1"/>
        <v>0</v>
      </c>
      <c r="G10" s="19">
        <v>0.64</v>
      </c>
      <c r="H10" s="26"/>
    </row>
    <row r="11" ht="21" customHeight="1" spans="1:8">
      <c r="A11" s="28">
        <v>0.23</v>
      </c>
      <c r="B11" s="29">
        <v>0.23</v>
      </c>
      <c r="C11" s="23">
        <f t="shared" si="0"/>
        <v>0.23</v>
      </c>
      <c r="D11" s="24">
        <f t="shared" si="1"/>
        <v>0</v>
      </c>
      <c r="G11" s="19">
        <v>0.64</v>
      </c>
      <c r="H11" s="26"/>
    </row>
    <row r="12" ht="21" customHeight="1" spans="1:8">
      <c r="A12" s="28">
        <v>0.74</v>
      </c>
      <c r="B12" s="29">
        <v>0.78</v>
      </c>
      <c r="C12" s="23">
        <f t="shared" si="0"/>
        <v>0.76</v>
      </c>
      <c r="D12" s="24">
        <f t="shared" si="1"/>
        <v>-0.0263157894736842</v>
      </c>
      <c r="G12" s="19">
        <v>0.62</v>
      </c>
      <c r="H12" s="27"/>
    </row>
    <row r="13" ht="21" customHeight="1" spans="1:8">
      <c r="A13" s="30">
        <v>106.23</v>
      </c>
      <c r="B13" s="31">
        <v>106.75</v>
      </c>
      <c r="C13" s="23">
        <f t="shared" si="0"/>
        <v>106.49</v>
      </c>
      <c r="D13" s="24">
        <f t="shared" si="1"/>
        <v>-0.00244154380693021</v>
      </c>
      <c r="G13" s="19">
        <v>0.61</v>
      </c>
      <c r="H13" s="25">
        <f>AVERAGE(G13:G16)</f>
        <v>0.63</v>
      </c>
    </row>
    <row r="14" ht="21" customHeight="1" spans="1:8">
      <c r="A14" s="32">
        <v>165.18</v>
      </c>
      <c r="B14" s="32">
        <v>161.61</v>
      </c>
      <c r="C14" s="23">
        <f t="shared" si="0"/>
        <v>163.395</v>
      </c>
      <c r="D14" s="24">
        <f t="shared" si="1"/>
        <v>0.0109244468924997</v>
      </c>
      <c r="G14" s="19">
        <v>0.63</v>
      </c>
      <c r="H14" s="26"/>
    </row>
    <row r="15" ht="21" customHeight="1" spans="1:8">
      <c r="A15" s="33"/>
      <c r="G15" s="19">
        <v>0.64</v>
      </c>
      <c r="H15" s="26"/>
    </row>
    <row r="16" ht="22.5" spans="1:8">
      <c r="A16" s="34" t="s">
        <v>887</v>
      </c>
      <c r="B16" s="34"/>
      <c r="C16" s="35" t="s">
        <v>888</v>
      </c>
      <c r="D16" s="15"/>
      <c r="G16" s="19">
        <v>0.64</v>
      </c>
      <c r="H16" s="27"/>
    </row>
    <row r="17" ht="16.5" spans="1:8">
      <c r="A17" s="36">
        <v>2.68</v>
      </c>
      <c r="B17" s="37">
        <v>2.68</v>
      </c>
      <c r="C17" s="38">
        <f>B17/A17*100-100</f>
        <v>0</v>
      </c>
      <c r="D17" s="15"/>
      <c r="G17" s="19">
        <v>0.62</v>
      </c>
      <c r="H17" s="39">
        <f>AVERAGE(G17:G20)</f>
        <v>0.6225</v>
      </c>
    </row>
    <row r="18" ht="16.5" spans="1:8">
      <c r="A18" s="36">
        <v>6</v>
      </c>
      <c r="B18" s="37">
        <v>5.844</v>
      </c>
      <c r="C18" s="38">
        <f t="shared" ref="C18:C26" si="2">B18/A18*100-100</f>
        <v>-2.59999999999999</v>
      </c>
      <c r="D18" s="15"/>
      <c r="G18" s="19">
        <v>0.63</v>
      </c>
      <c r="H18" s="39"/>
    </row>
    <row r="19" ht="16.5" spans="1:8">
      <c r="A19" s="36">
        <v>2.5</v>
      </c>
      <c r="B19" s="37">
        <v>2.5484</v>
      </c>
      <c r="C19" s="38">
        <f t="shared" si="2"/>
        <v>1.93600000000001</v>
      </c>
      <c r="D19" s="15"/>
      <c r="G19" s="19">
        <v>0.62</v>
      </c>
      <c r="H19" s="39"/>
    </row>
    <row r="20" ht="16.5" spans="1:8">
      <c r="A20" s="36">
        <v>3</v>
      </c>
      <c r="B20" s="37">
        <v>2.9059</v>
      </c>
      <c r="C20" s="38">
        <f t="shared" si="2"/>
        <v>-3.13666666666667</v>
      </c>
      <c r="D20" s="15"/>
      <c r="G20" s="19">
        <v>0.62</v>
      </c>
      <c r="H20" s="39"/>
    </row>
    <row r="21" ht="16.5" spans="1:8">
      <c r="A21" s="36">
        <v>3</v>
      </c>
      <c r="B21" s="37">
        <v>3.0589</v>
      </c>
      <c r="C21" s="38">
        <f t="shared" si="2"/>
        <v>1.96333333333334</v>
      </c>
      <c r="D21" s="15"/>
      <c r="G21" s="19">
        <v>0.65</v>
      </c>
      <c r="H21" s="39">
        <f>AVERAGE(G21:G24)</f>
        <v>0.63</v>
      </c>
    </row>
    <row r="22" ht="16.5" spans="1:8">
      <c r="A22" s="36">
        <v>40</v>
      </c>
      <c r="B22" s="37">
        <v>40.3634</v>
      </c>
      <c r="C22" s="38">
        <f t="shared" si="2"/>
        <v>0.908500000000004</v>
      </c>
      <c r="D22" s="15"/>
      <c r="G22" s="19">
        <v>0.62</v>
      </c>
      <c r="H22" s="39"/>
    </row>
    <row r="23" ht="16.5" spans="1:8">
      <c r="A23" s="36">
        <v>0.6</v>
      </c>
      <c r="B23" s="40">
        <v>0.6433</v>
      </c>
      <c r="C23" s="38">
        <f t="shared" si="2"/>
        <v>7.21666666666667</v>
      </c>
      <c r="D23" s="15"/>
      <c r="G23" s="19">
        <v>0.61</v>
      </c>
      <c r="H23" s="39"/>
    </row>
    <row r="24" ht="16.5" spans="1:8">
      <c r="A24" s="36">
        <v>1.5</v>
      </c>
      <c r="B24" s="40">
        <v>1.5806</v>
      </c>
      <c r="C24" s="38">
        <f t="shared" si="2"/>
        <v>5.37333333333333</v>
      </c>
      <c r="D24" s="15"/>
      <c r="G24" s="19">
        <v>0.64</v>
      </c>
      <c r="H24" s="39"/>
    </row>
    <row r="25" ht="16.5" spans="1:8">
      <c r="A25" s="36">
        <v>775</v>
      </c>
      <c r="B25" s="40">
        <v>763.129</v>
      </c>
      <c r="C25" s="38">
        <f t="shared" si="2"/>
        <v>-1.53174193548386</v>
      </c>
      <c r="D25" s="15"/>
      <c r="G25" s="19">
        <v>0.63</v>
      </c>
      <c r="H25" s="39">
        <f>AVERAGE(G25:G28)</f>
        <v>0.62</v>
      </c>
    </row>
    <row r="26" ht="16.5" spans="1:8">
      <c r="A26" s="36">
        <v>775</v>
      </c>
      <c r="B26" s="40">
        <v>763.129</v>
      </c>
      <c r="C26" s="38">
        <f t="shared" si="2"/>
        <v>-1.53174193548386</v>
      </c>
      <c r="D26" s="15"/>
      <c r="G26" s="19">
        <v>0.63</v>
      </c>
      <c r="H26" s="39"/>
    </row>
    <row r="27" ht="16.5" spans="7:8">
      <c r="G27" s="19">
        <v>0.61</v>
      </c>
      <c r="H27" s="39"/>
    </row>
    <row r="28" ht="15.75" spans="1:8">
      <c r="A28" s="41" t="s">
        <v>889</v>
      </c>
      <c r="B28" s="42" t="s">
        <v>890</v>
      </c>
      <c r="C28" s="43" t="s">
        <v>891</v>
      </c>
      <c r="D28" s="44" t="s">
        <v>892</v>
      </c>
      <c r="G28" s="19">
        <v>0.61</v>
      </c>
      <c r="H28" s="39"/>
    </row>
    <row r="29" ht="14.25" spans="1:8">
      <c r="A29" s="45"/>
      <c r="B29" s="46"/>
      <c r="C29" s="47"/>
      <c r="D29" s="44"/>
      <c r="G29" s="48"/>
      <c r="H29"/>
    </row>
    <row r="30" ht="16.5" spans="1:8">
      <c r="A30" s="49">
        <v>36.026</v>
      </c>
      <c r="B30" s="50">
        <v>55.641</v>
      </c>
      <c r="C30" s="50">
        <v>20</v>
      </c>
      <c r="D30" s="51">
        <f>(B30-A30)/C30*100</f>
        <v>98.075</v>
      </c>
      <c r="G30" s="48"/>
      <c r="H30"/>
    </row>
    <row r="31" ht="16.5" spans="1:8">
      <c r="A31" s="52">
        <v>96.486</v>
      </c>
      <c r="B31" s="53">
        <v>146.22</v>
      </c>
      <c r="C31" s="53">
        <v>50</v>
      </c>
      <c r="D31" s="54">
        <f t="shared" ref="D31:D36" si="3">(B31-A31)/C31*100</f>
        <v>99.468</v>
      </c>
      <c r="G31"/>
      <c r="H31"/>
    </row>
    <row r="32" ht="16.5" spans="1:8">
      <c r="A32" s="49">
        <v>33.784</v>
      </c>
      <c r="B32" s="50">
        <v>54.054</v>
      </c>
      <c r="C32" s="50">
        <v>20</v>
      </c>
      <c r="D32" s="54">
        <f t="shared" si="3"/>
        <v>101.35</v>
      </c>
      <c r="G32"/>
      <c r="H32"/>
    </row>
    <row r="33" ht="16.5" spans="1:8">
      <c r="A33" s="49">
        <v>10</v>
      </c>
      <c r="B33" s="50">
        <v>14.595</v>
      </c>
      <c r="C33" s="50">
        <v>5</v>
      </c>
      <c r="D33" s="54">
        <f t="shared" si="3"/>
        <v>91.9</v>
      </c>
      <c r="G33"/>
      <c r="H33"/>
    </row>
    <row r="34" ht="16.5" spans="1:8">
      <c r="A34" s="49">
        <v>7.013</v>
      </c>
      <c r="B34" s="50">
        <v>16.623</v>
      </c>
      <c r="C34" s="50">
        <v>10</v>
      </c>
      <c r="D34" s="54">
        <f t="shared" si="3"/>
        <v>96.1</v>
      </c>
      <c r="G34"/>
      <c r="H34"/>
    </row>
    <row r="35" ht="16.5" spans="1:8">
      <c r="A35" s="49">
        <v>7.6623</v>
      </c>
      <c r="B35" s="50">
        <v>17.403</v>
      </c>
      <c r="C35" s="50">
        <v>10</v>
      </c>
      <c r="D35" s="54">
        <f t="shared" si="3"/>
        <v>97.407</v>
      </c>
      <c r="G35"/>
      <c r="H35"/>
    </row>
    <row r="36" ht="16.5" spans="1:8">
      <c r="A36" s="49">
        <v>32.589</v>
      </c>
      <c r="B36" s="50">
        <v>62.054</v>
      </c>
      <c r="C36" s="50">
        <v>30</v>
      </c>
      <c r="D36" s="54">
        <f t="shared" si="3"/>
        <v>98.2166666666667</v>
      </c>
      <c r="G36"/>
      <c r="H36"/>
    </row>
    <row r="37" spans="8:8">
      <c r="H37"/>
    </row>
    <row r="38" ht="13.5" spans="1:6">
      <c r="A38" s="55" t="s">
        <v>893</v>
      </c>
      <c r="B38" s="55"/>
      <c r="C38" s="55"/>
      <c r="D38" s="55"/>
      <c r="E38" s="55"/>
      <c r="F38" s="55"/>
    </row>
    <row r="39" ht="18.75" spans="1:9">
      <c r="A39" s="56" t="s">
        <v>894</v>
      </c>
      <c r="B39" s="56" t="s">
        <v>895</v>
      </c>
      <c r="C39" s="56" t="s">
        <v>896</v>
      </c>
      <c r="D39" s="57" t="s">
        <v>897</v>
      </c>
      <c r="E39" s="58" t="s">
        <v>898</v>
      </c>
      <c r="F39" s="58" t="s">
        <v>899</v>
      </c>
      <c r="I39" s="48"/>
    </row>
    <row r="40" ht="18.75" spans="1:6">
      <c r="A40" s="59">
        <v>20</v>
      </c>
      <c r="B40" s="59">
        <v>95.3</v>
      </c>
      <c r="C40" s="59">
        <v>23.2</v>
      </c>
      <c r="D40" s="57">
        <v>101.325</v>
      </c>
      <c r="E40" s="60">
        <f>A40*B40/(273+C40)*273.15/D40</f>
        <v>17.346922353762</v>
      </c>
      <c r="F40" s="60">
        <f>A40*B40/(273+C40)*298.15/D40</f>
        <v>18.9345960086917</v>
      </c>
    </row>
    <row r="41" ht="18.75" spans="1:6">
      <c r="A41" s="59">
        <v>5</v>
      </c>
      <c r="B41" s="59">
        <v>95.3</v>
      </c>
      <c r="C41" s="59">
        <v>23.2</v>
      </c>
      <c r="D41" s="57">
        <v>101.325</v>
      </c>
      <c r="E41" s="60">
        <f>A41*B41/(273+C41)*273.15/D41</f>
        <v>4.3367305884405</v>
      </c>
      <c r="F41" s="60">
        <f>A41*B41/(273+C41)*298.15/D41</f>
        <v>4.73364900217293</v>
      </c>
    </row>
    <row r="42" ht="18.75" spans="1:6">
      <c r="A42" s="59">
        <v>10</v>
      </c>
      <c r="B42" s="59">
        <v>95.3</v>
      </c>
      <c r="C42" s="59">
        <v>23.2</v>
      </c>
      <c r="D42" s="57">
        <v>101.325</v>
      </c>
      <c r="E42" s="60">
        <f>A42*B42/(273+C42)*273.15/D42</f>
        <v>8.67346117688101</v>
      </c>
      <c r="F42" s="60">
        <f>A42*B42/(273+C42)*298.15/D42</f>
        <v>9.46729800434586</v>
      </c>
    </row>
    <row r="43" ht="18.75" spans="1:6">
      <c r="A43" s="59">
        <v>10</v>
      </c>
      <c r="B43" s="59">
        <v>95.3</v>
      </c>
      <c r="C43" s="59">
        <v>23.2</v>
      </c>
      <c r="D43" s="57">
        <v>101.325</v>
      </c>
      <c r="E43" s="60">
        <f>A43*B43/(273+C43)*273.15/D43</f>
        <v>8.67346117688101</v>
      </c>
      <c r="F43" s="60">
        <f>A43*B43/(273+C43)*298.15/D43</f>
        <v>9.46729800434586</v>
      </c>
    </row>
    <row r="45" ht="13.5" spans="1:5">
      <c r="A45" s="61" t="s">
        <v>900</v>
      </c>
      <c r="B45" s="61"/>
      <c r="C45" s="61"/>
      <c r="D45" s="61"/>
      <c r="E45" s="61"/>
    </row>
    <row r="46" ht="18.75" spans="1:7">
      <c r="A46" s="56" t="s">
        <v>894</v>
      </c>
      <c r="B46" s="56" t="s">
        <v>895</v>
      </c>
      <c r="C46" s="56" t="s">
        <v>896</v>
      </c>
      <c r="D46" s="57" t="s">
        <v>897</v>
      </c>
      <c r="E46" s="58" t="s">
        <v>898</v>
      </c>
      <c r="G46"/>
    </row>
    <row r="47" ht="18.75" spans="1:8">
      <c r="A47" s="59">
        <v>1.5</v>
      </c>
      <c r="B47" s="59">
        <v>98.7</v>
      </c>
      <c r="C47" s="59">
        <v>20</v>
      </c>
      <c r="D47" s="57">
        <v>101.3</v>
      </c>
      <c r="E47" s="60">
        <f>A47*293/(273+C47)*B47/D47</f>
        <v>1.46150049358342</v>
      </c>
      <c r="G47"/>
      <c r="H47"/>
    </row>
    <row r="48" ht="18.75" spans="1:8">
      <c r="A48" s="59">
        <v>45</v>
      </c>
      <c r="B48" s="59">
        <v>97.5</v>
      </c>
      <c r="C48" s="59">
        <v>23.2</v>
      </c>
      <c r="D48" s="57">
        <v>101.3</v>
      </c>
      <c r="E48" s="60">
        <f>A48*293/(273+C48)*B48/D48</f>
        <v>42.8440236413458</v>
      </c>
      <c r="G48"/>
      <c r="H48"/>
    </row>
    <row r="49" ht="18.75" spans="1:8">
      <c r="A49" s="59">
        <v>45</v>
      </c>
      <c r="B49" s="59">
        <v>97.2</v>
      </c>
      <c r="C49" s="59">
        <v>23.2</v>
      </c>
      <c r="D49" s="57">
        <v>101.3</v>
      </c>
      <c r="E49" s="60">
        <f>A49*293/(273+C49)*B49/D49</f>
        <v>42.7121958762955</v>
      </c>
      <c r="G49"/>
      <c r="H49"/>
    </row>
    <row r="50" ht="18.75" spans="1:8">
      <c r="A50" s="59">
        <v>45</v>
      </c>
      <c r="B50" s="59">
        <v>97.3</v>
      </c>
      <c r="C50" s="59">
        <v>23.2</v>
      </c>
      <c r="D50" s="57">
        <v>101.3</v>
      </c>
      <c r="E50" s="60">
        <f>A50*293/(273+C50)*B50/D50</f>
        <v>42.7561384646456</v>
      </c>
      <c r="G50"/>
      <c r="H50"/>
    </row>
    <row r="51" ht="15.75" spans="1:8">
      <c r="A51" s="62"/>
      <c r="B51" s="62"/>
      <c r="C51" s="62"/>
      <c r="D51" s="63" t="s">
        <v>901</v>
      </c>
      <c r="E51" s="63"/>
      <c r="G51"/>
      <c r="H51"/>
    </row>
    <row r="52" ht="15.75" spans="1:8">
      <c r="A52" s="62"/>
      <c r="B52" s="62"/>
      <c r="C52" s="62"/>
      <c r="D52" s="63" t="s">
        <v>902</v>
      </c>
      <c r="E52" s="63"/>
      <c r="G52"/>
      <c r="H52"/>
    </row>
    <row r="53" spans="7:8">
      <c r="G53"/>
      <c r="H53"/>
    </row>
    <row r="54" spans="7:8">
      <c r="G54"/>
      <c r="H54"/>
    </row>
    <row r="55" spans="7:8">
      <c r="G55"/>
      <c r="H55"/>
    </row>
    <row r="56" spans="7:8">
      <c r="G56"/>
      <c r="H56"/>
    </row>
    <row r="57" spans="7:8">
      <c r="G57"/>
      <c r="H57"/>
    </row>
    <row r="58" spans="7:8">
      <c r="G58"/>
      <c r="H58"/>
    </row>
    <row r="59" spans="7:8">
      <c r="G59"/>
      <c r="H59"/>
    </row>
    <row r="60" spans="7:8">
      <c r="G60"/>
      <c r="H60"/>
    </row>
    <row r="61" spans="7:8">
      <c r="G61"/>
      <c r="H61"/>
    </row>
    <row r="62" spans="7:8">
      <c r="G62"/>
      <c r="H62"/>
    </row>
    <row r="63" spans="7:8">
      <c r="G63"/>
      <c r="H63"/>
    </row>
    <row r="64" spans="7:8">
      <c r="G64"/>
      <c r="H64"/>
    </row>
    <row r="65" spans="7:8">
      <c r="G65"/>
      <c r="H65"/>
    </row>
    <row r="66" spans="7:8">
      <c r="G66"/>
      <c r="H66"/>
    </row>
    <row r="67" spans="7:8">
      <c r="G67"/>
      <c r="H67"/>
    </row>
    <row r="68" spans="7:8">
      <c r="G68"/>
      <c r="H68"/>
    </row>
    <row r="69" spans="7:8">
      <c r="G69"/>
      <c r="H69"/>
    </row>
    <row r="70" spans="8:8">
      <c r="H70"/>
    </row>
  </sheetData>
  <mergeCells count="17">
    <mergeCell ref="A1:B1"/>
    <mergeCell ref="A16:B16"/>
    <mergeCell ref="A38:F38"/>
    <mergeCell ref="A45:E45"/>
    <mergeCell ref="D51:E51"/>
    <mergeCell ref="D52:E52"/>
    <mergeCell ref="A28:A29"/>
    <mergeCell ref="B28:B29"/>
    <mergeCell ref="C28:C29"/>
    <mergeCell ref="D28:D29"/>
    <mergeCell ref="H2:H4"/>
    <mergeCell ref="H5:H8"/>
    <mergeCell ref="H9:H12"/>
    <mergeCell ref="H13:H16"/>
    <mergeCell ref="H17:H20"/>
    <mergeCell ref="H21:H24"/>
    <mergeCell ref="H25:H2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175" zoomScaleNormal="175" workbookViewId="0">
      <selection activeCell="H18" sqref="H18"/>
    </sheetView>
  </sheetViews>
  <sheetFormatPr defaultColWidth="13.2857142857143" defaultRowHeight="16.5" customHeight="1" outlineLevelCol="7"/>
  <cols>
    <col min="1" max="1" width="10.2095238095238" customWidth="1"/>
    <col min="2" max="2" width="12.5619047619048" customWidth="1"/>
    <col min="3" max="7" width="19.7809523809524" customWidth="1"/>
  </cols>
  <sheetData>
    <row r="1" customHeight="1" spans="1:8">
      <c r="A1" s="1" t="s">
        <v>903</v>
      </c>
      <c r="B1" s="1"/>
      <c r="C1" s="2" t="s">
        <v>904</v>
      </c>
      <c r="D1" s="2" t="s">
        <v>905</v>
      </c>
      <c r="E1" s="2" t="s">
        <v>906</v>
      </c>
      <c r="F1" s="2" t="s">
        <v>907</v>
      </c>
      <c r="G1" s="2" t="s">
        <v>908</v>
      </c>
      <c r="H1" s="3" t="s">
        <v>909</v>
      </c>
    </row>
    <row r="2" customHeight="1" spans="1:8">
      <c r="A2" s="4" t="s">
        <v>910</v>
      </c>
      <c r="B2" s="5" t="s">
        <v>911</v>
      </c>
      <c r="C2" s="6">
        <v>100</v>
      </c>
      <c r="D2" s="7">
        <v>98.6</v>
      </c>
      <c r="E2" s="8">
        <f>(D2-C2)/C2*100</f>
        <v>-1.40000000000001</v>
      </c>
      <c r="F2" s="5" t="s">
        <v>912</v>
      </c>
      <c r="G2" s="5" t="s">
        <v>744</v>
      </c>
      <c r="H2" s="3">
        <v>500</v>
      </c>
    </row>
    <row r="3" customHeight="1" spans="1:8">
      <c r="A3" s="4"/>
      <c r="B3" s="5"/>
      <c r="C3" s="9">
        <v>200</v>
      </c>
      <c r="D3" s="10">
        <v>198.7</v>
      </c>
      <c r="E3" s="8">
        <f>(D3-C3)/C3*100</f>
        <v>-0.650000000000006</v>
      </c>
      <c r="F3" s="5"/>
      <c r="G3" s="5" t="s">
        <v>744</v>
      </c>
      <c r="H3" s="3" t="s">
        <v>913</v>
      </c>
    </row>
    <row r="4" customHeight="1" spans="1:8">
      <c r="A4" s="4"/>
      <c r="B4" s="5"/>
      <c r="C4" s="9">
        <v>506</v>
      </c>
      <c r="D4" s="10">
        <v>508.7</v>
      </c>
      <c r="E4" s="8">
        <f>(D4-C4)/C4*100</f>
        <v>0.533596837944662</v>
      </c>
      <c r="F4" s="5"/>
      <c r="G4" s="5" t="s">
        <v>744</v>
      </c>
      <c r="H4" s="3">
        <v>500</v>
      </c>
    </row>
    <row r="5" customHeight="1" spans="1:8">
      <c r="A5" s="4"/>
      <c r="B5" s="11" t="s">
        <v>914</v>
      </c>
      <c r="C5" s="12">
        <v>497</v>
      </c>
      <c r="D5" s="11">
        <v>-0.8</v>
      </c>
      <c r="E5" s="11">
        <f>D5/H2*100</f>
        <v>-0.16</v>
      </c>
      <c r="F5" s="11" t="s">
        <v>912</v>
      </c>
      <c r="G5" s="5" t="s">
        <v>744</v>
      </c>
      <c r="H5" s="3" t="s">
        <v>915</v>
      </c>
    </row>
    <row r="6" customHeight="1" spans="1:8">
      <c r="A6" s="4"/>
      <c r="B6" s="11" t="s">
        <v>916</v>
      </c>
      <c r="C6" s="12">
        <v>0</v>
      </c>
      <c r="D6" s="11">
        <v>0.5</v>
      </c>
      <c r="E6" s="11">
        <f>D6/H2*100</f>
        <v>0.1</v>
      </c>
      <c r="F6" s="11" t="s">
        <v>912</v>
      </c>
      <c r="G6" s="5" t="s">
        <v>744</v>
      </c>
      <c r="H6" s="3">
        <v>25</v>
      </c>
    </row>
    <row r="7" customHeight="1" spans="1:7">
      <c r="A7" s="4"/>
      <c r="B7" s="11" t="s">
        <v>917</v>
      </c>
      <c r="C7" s="12" t="s">
        <v>918</v>
      </c>
      <c r="D7" s="11" t="s">
        <v>919</v>
      </c>
      <c r="E7" s="11" t="s">
        <v>918</v>
      </c>
      <c r="F7" s="11" t="s">
        <v>920</v>
      </c>
      <c r="G7" s="5" t="s">
        <v>744</v>
      </c>
    </row>
    <row r="8" customHeight="1" spans="1:7">
      <c r="A8" s="4" t="s">
        <v>921</v>
      </c>
      <c r="B8" s="11" t="s">
        <v>922</v>
      </c>
      <c r="C8" s="13">
        <v>251</v>
      </c>
      <c r="D8" s="14">
        <v>248</v>
      </c>
      <c r="E8" s="11">
        <f>(D8-C8)/C8*100</f>
        <v>-1.19521912350598</v>
      </c>
      <c r="F8" s="11" t="s">
        <v>923</v>
      </c>
      <c r="G8" s="5" t="s">
        <v>744</v>
      </c>
    </row>
    <row r="9" customHeight="1" spans="1:7">
      <c r="A9" s="4"/>
      <c r="B9" s="11"/>
      <c r="C9" s="13">
        <v>497</v>
      </c>
      <c r="D9" s="14">
        <v>495.7</v>
      </c>
      <c r="E9" s="11">
        <f>(D9-C9)/C9*100</f>
        <v>-0.261569416498996</v>
      </c>
      <c r="F9" s="11"/>
      <c r="G9" s="5" t="s">
        <v>744</v>
      </c>
    </row>
    <row r="10" customHeight="1" spans="1:7">
      <c r="A10" s="4"/>
      <c r="B10" s="11"/>
      <c r="C10" s="13">
        <v>110</v>
      </c>
      <c r="D10" s="14">
        <v>108.2</v>
      </c>
      <c r="E10" s="11">
        <f>(D10-C10)/C10*100</f>
        <v>-1.63636363636363</v>
      </c>
      <c r="F10" s="11"/>
      <c r="G10" s="5" t="s">
        <v>744</v>
      </c>
    </row>
    <row r="11" customHeight="1" spans="1:7">
      <c r="A11" s="4"/>
      <c r="B11" s="11" t="s">
        <v>914</v>
      </c>
      <c r="C11" s="13">
        <v>497</v>
      </c>
      <c r="D11" s="14">
        <v>1.1</v>
      </c>
      <c r="E11" s="11">
        <f>D11/H4*100</f>
        <v>0.22</v>
      </c>
      <c r="F11" s="11" t="s">
        <v>912</v>
      </c>
      <c r="G11" s="5" t="s">
        <v>744</v>
      </c>
    </row>
    <row r="12" customHeight="1" spans="1:7">
      <c r="A12" s="4"/>
      <c r="B12" s="11" t="s">
        <v>916</v>
      </c>
      <c r="C12" s="13">
        <v>0</v>
      </c>
      <c r="D12" s="14">
        <v>0.4</v>
      </c>
      <c r="E12" s="11">
        <f>D12/H4*100</f>
        <v>0.08</v>
      </c>
      <c r="F12" s="11" t="s">
        <v>912</v>
      </c>
      <c r="G12" s="5" t="s">
        <v>744</v>
      </c>
    </row>
    <row r="13" customHeight="1" spans="1:7">
      <c r="A13" s="4"/>
      <c r="B13" s="11" t="s">
        <v>917</v>
      </c>
      <c r="C13" s="13" t="s">
        <v>918</v>
      </c>
      <c r="D13" s="14" t="s">
        <v>924</v>
      </c>
      <c r="E13" s="11" t="s">
        <v>918</v>
      </c>
      <c r="F13" s="11" t="s">
        <v>920</v>
      </c>
      <c r="G13" s="5" t="s">
        <v>744</v>
      </c>
    </row>
    <row r="14" customHeight="1" spans="1:7">
      <c r="A14" s="4" t="s">
        <v>925</v>
      </c>
      <c r="B14" s="11" t="s">
        <v>922</v>
      </c>
      <c r="C14" s="13">
        <v>12</v>
      </c>
      <c r="D14" s="14">
        <v>12.1</v>
      </c>
      <c r="E14" s="11">
        <f>(D14-C14)/C14*100</f>
        <v>0.83333333333333</v>
      </c>
      <c r="F14" s="11" t="s">
        <v>923</v>
      </c>
      <c r="G14" s="5" t="s">
        <v>744</v>
      </c>
    </row>
    <row r="15" customHeight="1" spans="1:7">
      <c r="A15" s="4"/>
      <c r="B15" s="11" t="s">
        <v>914</v>
      </c>
      <c r="C15" s="13">
        <v>21</v>
      </c>
      <c r="D15" s="14">
        <v>0.4</v>
      </c>
      <c r="E15" s="11">
        <f>D15/H6*100</f>
        <v>1.6</v>
      </c>
      <c r="F15" s="11" t="s">
        <v>912</v>
      </c>
      <c r="G15" s="5" t="s">
        <v>744</v>
      </c>
    </row>
    <row r="16" customHeight="1" spans="1:7">
      <c r="A16" s="4"/>
      <c r="B16" s="11" t="s">
        <v>916</v>
      </c>
      <c r="C16" s="13">
        <v>0</v>
      </c>
      <c r="D16" s="14">
        <v>0.2</v>
      </c>
      <c r="E16" s="11">
        <f>D16/H6*100</f>
        <v>0.8</v>
      </c>
      <c r="F16" s="11" t="s">
        <v>912</v>
      </c>
      <c r="G16" s="5" t="s">
        <v>744</v>
      </c>
    </row>
    <row r="17" customHeight="1" spans="1:7">
      <c r="A17" s="4"/>
      <c r="B17" s="11" t="s">
        <v>917</v>
      </c>
      <c r="C17" s="13" t="s">
        <v>918</v>
      </c>
      <c r="D17" s="14" t="s">
        <v>926</v>
      </c>
      <c r="E17" s="11" t="s">
        <v>918</v>
      </c>
      <c r="F17" s="11" t="s">
        <v>920</v>
      </c>
      <c r="G17" s="5" t="s">
        <v>744</v>
      </c>
    </row>
  </sheetData>
  <sheetProtection sort="0" autoFilter="0"/>
  <mergeCells count="8">
    <mergeCell ref="A1:B1"/>
    <mergeCell ref="A2:A7"/>
    <mergeCell ref="A8:A13"/>
    <mergeCell ref="A14:A17"/>
    <mergeCell ref="B2:B4"/>
    <mergeCell ref="B8:B10"/>
    <mergeCell ref="F2:F4"/>
    <mergeCell ref="F8:F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有组织废气</vt:lpstr>
      <vt:lpstr>O2和NMHC比对</vt:lpstr>
      <vt:lpstr>氮氧化物二氧化硫</vt:lpstr>
      <vt:lpstr>比对  颗粒物、流速、温度</vt:lpstr>
      <vt:lpstr>水质在线比对</vt:lpstr>
      <vt:lpstr>职业卫生</vt:lpstr>
      <vt:lpstr>水中化学平衡</vt:lpstr>
      <vt:lpstr>噪声测量</vt:lpstr>
      <vt:lpstr>误差计算</vt:lpstr>
      <vt:lpstr>示值误差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WPS_1632728679</cp:lastModifiedBy>
  <dcterms:created xsi:type="dcterms:W3CDTF">2020-11-23T04:04:00Z</dcterms:created>
  <dcterms:modified xsi:type="dcterms:W3CDTF">2025-04-24T03:10:10Z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6BE0FC0DE90C445480A2490EE339A539_13</vt:lpwstr>
  </property>
</Properties>
</file>