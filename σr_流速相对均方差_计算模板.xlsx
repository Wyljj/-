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9492"/>
  </bookViews>
  <sheets>
    <sheet name="σr计算" sheetId="1" r:id="rId1"/>
    <sheet name="示例(已填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<sst xmlns="http://schemas.openxmlformats.org/spreadsheetml/2006/main" count="61" uniqueCount="42">
  <si>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r>
      <t>监测断面流速相对均方差 σ</t>
    </r>
    <r>
      <rPr>
        <sz val="11"/>
        <color rgb="FFFFFFFF"/>
        <rFont val="Calibri"/>
        <charset val="134"/>
      </rPr>
      <t>ᵣ</t>
    </r>
    <r>
      <rPr>
        <sz val="11"/>
        <color rgb="FFFFFFFF"/>
        <rFont val="微软雅黑"/>
        <charset val="134"/>
      </rPr>
      <t xml:space="preserve"> 计算模板（公式(2)）</t>
    </r>
  </si>
  <si>
    <t>样品类别</t>
  </si>
  <si>
    <t>有组织废气</t>
  </si>
  <si>
    <t>统计与判定</t>
  </si>
  <si>
    <t>采样点位</t>
  </si>
  <si>
    <t>2#燃气轮机</t>
  </si>
  <si>
    <t>测点数 n</t>
  </si>
  <si>
    <t>自动统计非空测点</t>
  </si>
  <si>
    <t>日期</t>
  </si>
  <si>
    <t>2026.2.8</t>
  </si>
  <si>
    <r>
      <t>平均流速 v</t>
    </r>
    <r>
      <rPr>
        <sz val="11"/>
        <rFont val="Calibri"/>
        <charset val="134"/>
      </rPr>
      <t>̄</t>
    </r>
    <r>
      <rPr>
        <sz val="11"/>
        <rFont val="微软雅黑"/>
        <charset val="134"/>
      </rPr>
      <t xml:space="preserve"> (m/s)</t>
    </r>
  </si>
  <si>
    <t/>
  </si>
  <si>
    <t>点位</t>
  </si>
  <si>
    <r>
      <t>流速 v</t>
    </r>
    <r>
      <rPr>
        <sz val="11"/>
        <rFont val="Calibri"/>
        <charset val="134"/>
      </rPr>
      <t>ᵢ</t>
    </r>
    <r>
      <rPr>
        <sz val="11"/>
        <rFont val="微软雅黑"/>
        <charset val="134"/>
      </rPr>
      <t xml:space="preserve"> (m/s)
（输入）</t>
    </r>
  </si>
  <si>
    <r>
      <t>偏差
(v</t>
    </r>
    <r>
      <rPr>
        <sz val="11"/>
        <rFont val="Calibri"/>
        <charset val="134"/>
      </rPr>
      <t>ᵢ</t>
    </r>
    <r>
      <rPr>
        <sz val="11"/>
        <rFont val="微软雅黑"/>
        <charset val="134"/>
      </rPr>
      <t xml:space="preserve"> − v</t>
    </r>
    <r>
      <rPr>
        <sz val="11"/>
        <rFont val="Calibri"/>
        <charset val="134"/>
      </rPr>
      <t>̄</t>
    </r>
    <r>
      <rPr>
        <sz val="11"/>
        <rFont val="微软雅黑"/>
        <charset val="134"/>
      </rPr>
      <t>)</t>
    </r>
  </si>
  <si>
    <r>
      <t>偏差平方
(v</t>
    </r>
    <r>
      <rPr>
        <sz val="11"/>
        <rFont val="Calibri"/>
        <charset val="134"/>
      </rPr>
      <t>ᵢ</t>
    </r>
    <r>
      <rPr>
        <sz val="11"/>
        <rFont val="微软雅黑"/>
        <charset val="134"/>
      </rPr>
      <t xml:space="preserve"> − v</t>
    </r>
    <r>
      <rPr>
        <sz val="11"/>
        <rFont val="Calibri"/>
        <charset val="134"/>
      </rPr>
      <t>̄</t>
    </r>
    <r>
      <rPr>
        <sz val="11"/>
        <rFont val="微软雅黑"/>
        <charset val="134"/>
      </rPr>
      <t>)²</t>
    </r>
  </si>
  <si>
    <t>样本标准差 s (m/s)</t>
  </si>
  <si>
    <r>
      <t>流速相对均方差 σ</t>
    </r>
    <r>
      <rPr>
        <sz val="11"/>
        <rFont val="Calibri"/>
        <charset val="134"/>
      </rPr>
      <t>ᵣ</t>
    </r>
  </si>
  <si>
    <r>
      <t>σ</t>
    </r>
    <r>
      <rPr>
        <sz val="11"/>
        <color rgb="FF666666"/>
        <rFont val="Calibri"/>
        <charset val="134"/>
      </rPr>
      <t>ᵣ</t>
    </r>
    <r>
      <rPr>
        <sz val="11"/>
        <color rgb="FF666666"/>
        <rFont val="微软雅黑"/>
        <charset val="134"/>
      </rPr>
      <t xml:space="preserve"> = s / v</t>
    </r>
    <r>
      <rPr>
        <sz val="11"/>
        <color rgb="FF666666"/>
        <rFont val="Calibri"/>
        <charset val="134"/>
      </rPr>
      <t>̄</t>
    </r>
  </si>
  <si>
    <t>判定限值</t>
  </si>
  <si>
    <t>默认 0.150，可修改</t>
  </si>
  <si>
    <t>判定结果</t>
  </si>
  <si>
    <r>
      <t>Σ(vi−v</t>
    </r>
    <r>
      <rPr>
        <sz val="11"/>
        <rFont val="Calibri"/>
        <charset val="134"/>
      </rPr>
      <t>̄</t>
    </r>
    <r>
      <rPr>
        <sz val="11"/>
        <rFont val="微软雅黑"/>
        <charset val="134"/>
      </rPr>
      <t>)²（可选）</t>
    </r>
  </si>
  <si>
    <r>
      <t>σ</t>
    </r>
    <r>
      <rPr>
        <sz val="11"/>
        <rFont val="Calibri"/>
        <charset val="134"/>
      </rPr>
      <t>ᵣ</t>
    </r>
    <r>
      <rPr>
        <sz val="11"/>
        <rFont val="微软雅黑"/>
        <charset val="134"/>
      </rPr>
      <t>（按式(2)复核）</t>
    </r>
  </si>
  <si>
    <t>按式(2)计算复核</t>
  </si>
  <si>
    <t>复核差值</t>
  </si>
  <si>
    <t>应接近 0</t>
  </si>
  <si>
    <r>
      <t>使用说明：
1）在“流速 v</t>
    </r>
    <r>
      <rPr>
        <sz val="11"/>
        <color theme="1"/>
        <rFont val="Calibri"/>
        <charset val="134"/>
      </rPr>
      <t>ᵢ</t>
    </r>
    <r>
      <rPr>
        <sz val="11"/>
        <color theme="1"/>
        <rFont val="微软雅黑"/>
        <charset val="134"/>
      </rPr>
      <t>”列输入各测点流速（最多 20 点，未用行可留空）。
2）模板自动计算：n、平均流速 v</t>
    </r>
    <r>
      <rPr>
        <sz val="11"/>
        <color theme="1"/>
        <rFont val="Calibri"/>
        <charset val="134"/>
      </rPr>
      <t>̄</t>
    </r>
    <r>
      <rPr>
        <sz val="11"/>
        <color theme="1"/>
        <rFont val="微软雅黑"/>
        <charset val="134"/>
      </rPr>
      <t>、样本标准差 s、σ</t>
    </r>
    <r>
      <rPr>
        <sz val="11"/>
        <color theme="1"/>
        <rFont val="Calibri"/>
        <charset val="134"/>
      </rPr>
      <t>ᵣ</t>
    </r>
    <r>
      <rPr>
        <sz val="11"/>
        <color theme="1"/>
        <rFont val="微软雅黑"/>
        <charset val="134"/>
      </rPr>
      <t>，并给出判定。
3）判定依据：σ</t>
    </r>
    <r>
      <rPr>
        <sz val="11"/>
        <color theme="1"/>
        <rFont val="Calibri"/>
        <charset val="134"/>
      </rPr>
      <t>ᵣ</t>
    </r>
    <r>
      <rPr>
        <sz val="11"/>
        <color theme="1"/>
        <rFont val="微软雅黑"/>
        <charset val="134"/>
      </rPr>
      <t xml:space="preserve"> ≤ 判定限值（默认 0.150）。</t>
    </r>
  </si>
  <si>
    <t>监测断面流速相对均方差 σᵣ 计算模板（公式(2)）</t>
  </si>
  <si>
    <t>项目名称</t>
  </si>
  <si>
    <t>示例项目</t>
  </si>
  <si>
    <t>断面/烟道编号</t>
  </si>
  <si>
    <t>断面-01</t>
  </si>
  <si>
    <t>平均流速 v̄ (m/s)</t>
  </si>
  <si>
    <t>流速 vᵢ (m/s)
（输入）</t>
  </si>
  <si>
    <t>偏差
(vᵢ − v̄)</t>
  </si>
  <si>
    <t>偏差平方
(vᵢ − v̄)²</t>
  </si>
  <si>
    <t>流速相对均方差 σᵣ</t>
  </si>
  <si>
    <t>σᵣ = s / v̄</t>
  </si>
  <si>
    <t>Σ(vi−v̄)²（可选）</t>
  </si>
  <si>
    <t>σᵣ（按式(2)复核）</t>
  </si>
  <si>
    <t>使用说明：
1）在“流速 vᵢ”列输入各测点流速（最多 20 点，未用行可留空）。
2）模板自动计算：n、平均流速 v̄、样本标准差 s、σᵣ，并给出判定。
3）判定依据：σᵣ ≤ 判定限值（默认 0.150）。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</si>
</sst>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  <numFmt numFmtId="178" formatCode="0.000000"/>
  </numFmts>
  <fonts count="37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666666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FFFF"/>
      <name val="微软雅黑"/>
      <charset val="134"/>
    </font>
    <font>
      <sz val="11"/>
      <name val="微软雅黑"/>
      <charset val="134"/>
    </font>
    <font>
      <sz val="11"/>
      <color rgb="FF0000FF"/>
      <name val="微软雅黑"/>
      <charset val="134"/>
    </font>
    <font>
      <sz val="11"/>
      <color rgb="FF000000"/>
      <name val="微软雅黑"/>
      <charset val="134"/>
    </font>
    <font>
      <sz val="11"/>
      <color rgb="FF666666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  <font>
      <sz val="11"/>
      <color theme="1"/>
      <name val="Calibri"/>
      <charset val="134"/>
    </font>
    <font>
      <sz val="11"/>
      <color rgb="FFFFFFFF"/>
      <name val="Calibri"/>
      <charset val="134"/>
    </font>
    <font>
      <sz val="11"/>
      <color rgb="FF666666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/>
  </cellStyleXfs>
  <cellXfs count="50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3" borderId="1" xfId="49" applyFont="1" applyFill="1" applyBorder="1" applyAlignment="1">
      <alignment horizontal="left" vertical="center" wrapText="1"/>
    </xf>
    <xf numFmtId="0" fontId="3" fillId="0" borderId="1" xfId="49" applyFont="1" applyBorder="1" applyAlignment="1">
      <alignment horizontal="left" vertical="center" wrapText="1"/>
    </xf>
    <xf numFmtId="0" fontId="0" fillId="0" borderId="2" xfId="49" applyBorder="1"/>
    <xf numFmtId="0" fontId="0" fillId="0" borderId="3" xfId="49" applyBorder="1"/>
    <xf numFmtId="0" fontId="4" fillId="2" borderId="0" xfId="49" applyFont="1" applyFill="1" applyAlignment="1">
      <alignment horizontal="center" vertical="center" wrapText="1"/>
    </xf>
    <xf numFmtId="0" fontId="2" fillId="4" borderId="1" xfId="49" applyFont="1" applyFill="1" applyBorder="1" applyAlignment="1">
      <alignment horizontal="left" vertical="center" wrapText="1"/>
    </xf>
    <xf numFmtId="1" fontId="5" fillId="0" borderId="1" xfId="49" applyNumberFormat="1" applyFont="1" applyBorder="1" applyAlignment="1">
      <alignment horizontal="right" vertical="center" wrapText="1"/>
    </xf>
    <xf numFmtId="0" fontId="6" fillId="0" borderId="1" xfId="49" applyFont="1" applyBorder="1" applyAlignment="1">
      <alignment horizontal="left" vertical="center" wrapText="1"/>
    </xf>
    <xf numFmtId="176" fontId="5" fillId="0" borderId="1" xfId="49" applyNumberFormat="1" applyFont="1" applyBorder="1" applyAlignment="1">
      <alignment horizontal="right" vertical="center" wrapText="1"/>
    </xf>
    <xf numFmtId="0" fontId="2" fillId="4" borderId="1" xfId="49" applyFont="1" applyFill="1" applyBorder="1" applyAlignment="1">
      <alignment horizontal="center" vertical="center" wrapText="1"/>
    </xf>
    <xf numFmtId="2" fontId="5" fillId="0" borderId="1" xfId="49" applyNumberFormat="1" applyFont="1" applyBorder="1" applyAlignment="1">
      <alignment horizontal="right" vertical="center" wrapText="1"/>
    </xf>
    <xf numFmtId="0" fontId="0" fillId="0" borderId="1" xfId="49" applyBorder="1" applyAlignment="1">
      <alignment horizontal="center" vertical="center" wrapText="1"/>
    </xf>
    <xf numFmtId="176" fontId="3" fillId="0" borderId="1" xfId="49" applyNumberFormat="1" applyFont="1" applyBorder="1" applyAlignment="1">
      <alignment horizontal="right" vertical="center" wrapText="1"/>
    </xf>
    <xf numFmtId="176" fontId="0" fillId="0" borderId="1" xfId="49" applyNumberFormat="1" applyBorder="1" applyAlignment="1">
      <alignment horizontal="right" vertical="center" wrapText="1"/>
    </xf>
    <xf numFmtId="2" fontId="0" fillId="0" borderId="1" xfId="49" applyNumberFormat="1" applyBorder="1" applyAlignment="1">
      <alignment horizontal="right" vertical="center" wrapText="1"/>
    </xf>
    <xf numFmtId="177" fontId="5" fillId="0" borderId="1" xfId="49" applyNumberFormat="1" applyFont="1" applyBorder="1" applyAlignment="1">
      <alignment horizontal="right" vertical="center" wrapText="1"/>
    </xf>
    <xf numFmtId="177" fontId="3" fillId="0" borderId="1" xfId="49" applyNumberFormat="1" applyFont="1" applyBorder="1" applyAlignment="1">
      <alignment horizontal="right" vertical="center" wrapText="1"/>
    </xf>
    <xf numFmtId="0" fontId="5" fillId="0" borderId="1" xfId="49" applyFont="1" applyBorder="1" applyAlignment="1">
      <alignment horizontal="right" vertical="center" wrapText="1"/>
    </xf>
    <xf numFmtId="178" fontId="5" fillId="0" borderId="1" xfId="49" applyNumberFormat="1" applyFont="1" applyBorder="1" applyAlignment="1">
      <alignment horizontal="right" vertical="center" wrapText="1"/>
    </xf>
    <xf numFmtId="0" fontId="0" fillId="3" borderId="1" xfId="49" applyFill="1" applyBorder="1" applyAlignment="1">
      <alignment horizontal="left" vertical="center" wrapText="1"/>
    </xf>
    <xf numFmtId="0" fontId="0" fillId="0" borderId="4" xfId="49" applyBorder="1"/>
    <xf numFmtId="0" fontId="0" fillId="0" borderId="5" xfId="49" applyBorder="1"/>
    <xf numFmtId="0" fontId="0" fillId="0" borderId="6" xfId="49" applyBorder="1"/>
    <xf numFmtId="0" fontId="0" fillId="0" borderId="7" xfId="49" applyBorder="1"/>
    <xf numFmtId="0" fontId="0" fillId="0" borderId="8" xfId="49" applyBorder="1"/>
    <xf numFmtId="0" fontId="0" fillId="0" borderId="9" xfId="49" applyBorder="1"/>
    <xf numFmtId="0" fontId="0" fillId="0" borderId="10" xfId="49" applyBorder="1"/>
    <xf numFmtId="0" fontId="7" fillId="0" borderId="0" xfId="49" applyFont="1"/>
    <xf numFmtId="0" fontId="8" fillId="2" borderId="0" xfId="49" applyFont="1" applyFill="1" applyAlignment="1">
      <alignment horizontal="center" vertical="center" wrapText="1"/>
    </xf>
    <xf numFmtId="0" fontId="9" fillId="3" borderId="1" xfId="49" applyFont="1" applyFill="1" applyBorder="1" applyAlignment="1">
      <alignment horizontal="left" vertical="center" wrapText="1"/>
    </xf>
    <xf numFmtId="0" fontId="10" fillId="0" borderId="1" xfId="49" applyFont="1" applyBorder="1" applyAlignment="1">
      <alignment horizontal="left" vertical="center" wrapText="1"/>
    </xf>
    <xf numFmtId="0" fontId="7" fillId="0" borderId="1" xfId="49" applyFont="1" applyBorder="1"/>
    <xf numFmtId="0" fontId="9" fillId="4" borderId="1" xfId="49" applyFont="1" applyFill="1" applyBorder="1" applyAlignment="1">
      <alignment horizontal="left" vertical="center" wrapText="1"/>
    </xf>
    <xf numFmtId="1" fontId="11" fillId="0" borderId="1" xfId="49" applyNumberFormat="1" applyFont="1" applyBorder="1" applyAlignment="1">
      <alignment horizontal="right" vertical="center" wrapText="1"/>
    </xf>
    <xf numFmtId="0" fontId="12" fillId="0" borderId="1" xfId="49" applyFont="1" applyBorder="1" applyAlignment="1">
      <alignment horizontal="left" vertical="center" wrapText="1"/>
    </xf>
    <xf numFmtId="176" fontId="11" fillId="0" borderId="1" xfId="49" applyNumberFormat="1" applyFont="1" applyBorder="1" applyAlignment="1">
      <alignment horizontal="right" vertical="center" wrapText="1"/>
    </xf>
    <xf numFmtId="0" fontId="9" fillId="4" borderId="1" xfId="49" applyFont="1" applyFill="1" applyBorder="1" applyAlignment="1">
      <alignment horizontal="center" vertical="center" wrapText="1"/>
    </xf>
    <xf numFmtId="2" fontId="11" fillId="0" borderId="1" xfId="49" applyNumberFormat="1" applyFont="1" applyBorder="1" applyAlignment="1">
      <alignment horizontal="right" vertical="center" wrapText="1"/>
    </xf>
    <xf numFmtId="0" fontId="7" fillId="0" borderId="1" xfId="49" applyFont="1" applyBorder="1" applyAlignment="1">
      <alignment horizontal="center" vertical="center" wrapText="1"/>
    </xf>
    <xf numFmtId="176" fontId="10" fillId="0" borderId="1" xfId="49" applyNumberFormat="1" applyFont="1" applyBorder="1" applyAlignment="1">
      <alignment horizontal="right" vertical="center" wrapText="1"/>
    </xf>
    <xf numFmtId="176" fontId="7" fillId="0" borderId="1" xfId="49" applyNumberFormat="1" applyFont="1" applyBorder="1" applyAlignment="1">
      <alignment horizontal="right" vertical="center" wrapText="1"/>
    </xf>
    <xf numFmtId="2" fontId="7" fillId="0" borderId="1" xfId="49" applyNumberFormat="1" applyFont="1" applyBorder="1" applyAlignment="1">
      <alignment horizontal="right" vertical="center" wrapText="1"/>
    </xf>
    <xf numFmtId="177" fontId="11" fillId="0" borderId="1" xfId="49" applyNumberFormat="1" applyFont="1" applyBorder="1" applyAlignment="1">
      <alignment horizontal="right" vertical="center" wrapText="1"/>
    </xf>
    <xf numFmtId="177" fontId="10" fillId="0" borderId="1" xfId="49" applyNumberFormat="1" applyFont="1" applyBorder="1" applyAlignment="1">
      <alignment horizontal="right" vertical="center" wrapText="1"/>
    </xf>
    <xf numFmtId="0" fontId="11" fillId="0" borderId="1" xfId="49" applyFont="1" applyBorder="1" applyAlignment="1">
      <alignment horizontal="right" vertical="center" wrapText="1"/>
    </xf>
    <xf numFmtId="2" fontId="11" fillId="0" borderId="1" xfId="49" applyNumberFormat="1" applyFont="1" applyBorder="1" applyAlignment="1">
      <alignment horizontal="right" vertical="center" wrapText="1"/>
    </xf>
    <xf numFmtId="178" fontId="11" fillId="0" borderId="1" xfId="49" applyNumberFormat="1" applyFont="1" applyBorder="1" applyAlignment="1">
      <alignment horizontal="right" vertical="center" wrapText="1"/>
    </xf>
    <xf numFmtId="0" fontId="7" fillId="3" borderId="1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tabSelected="1" workbookViewId="0">
      <selection activeCell="L2" sqref="L2"/>
    </sheetView>
  </sheetViews>
  <sheetFormatPr defaultColWidth="9" defaultRowHeight="15.6" outlineLevelCol="7"/>
  <cols>
    <col min="1" max="1" width="10" style="29" customWidth="1"/>
    <col min="2" max="2" width="14" style="29" customWidth="1"/>
    <col min="3" max="4" width="16" style="29" customWidth="1"/>
    <col min="5" max="5" width="2" style="29" customWidth="1"/>
    <col min="6" max="6" width="20" style="29" customWidth="1"/>
    <col min="7" max="7" width="16" style="29" customWidth="1"/>
    <col min="8" max="8" width="18" style="29" customWidth="1"/>
    <col min="9" max="16384" width="9" style="29"/>
  </cols>
  <sheetData>
    <row r="1" ht="30" customHeight="1" spans="1:8">
      <c r="A1" s="30" t="s">
        <v>0</v>
      </c>
    </row>
    <row r="3" ht="22" customHeight="1" spans="1:8">
      <c r="A3" s="31" t="s">
        <v>1</v>
      </c>
      <c r="B3" s="32" t="s">
        <v>2</v>
      </c>
      <c r="C3" s="33"/>
      <c r="D3" s="33"/>
      <c r="F3" s="30" t="s">
        <v>3</v>
      </c>
    </row>
    <row r="4" ht="18" customHeight="1" spans="1:8">
      <c r="A4" s="31" t="s">
        <v>4</v>
      </c>
      <c r="B4" s="32" t="s">
        <v>5</v>
      </c>
      <c r="C4" s="33"/>
      <c r="D4" s="33"/>
      <c r="F4" s="34" t="s">
        <v>6</v>
      </c>
      <c r="G4" s="35">
        <f>COUNT($B$7:$B$26)</f>
        <v>10</v>
      </c>
      <c r="H4" s="36" t="s">
        <v>7</v>
      </c>
    </row>
    <row r="5" ht="18" customHeight="1" spans="1:8">
      <c r="A5" s="31" t="s">
        <v>8</v>
      </c>
      <c r="B5" s="32" t="s">
        <v>9</v>
      </c>
      <c r="C5" s="33"/>
      <c r="D5" s="33"/>
      <c r="F5" s="34" t="s">
        <v>10</v>
      </c>
      <c r="G5" s="37">
        <f>IF(G4&gt;0,AVERAGE($B$7:$B$26),"")</f>
        <v>16.898</v>
      </c>
      <c r="H5" s="36" t="s">
        <v>11</v>
      </c>
    </row>
    <row r="6" ht="18" customHeight="1" spans="1:8">
      <c r="A6" s="38" t="s">
        <v>12</v>
      </c>
      <c r="B6" s="38" t="s">
        <v>13</v>
      </c>
      <c r="C6" s="38" t="s">
        <v>14</v>
      </c>
      <c r="D6" s="38" t="s">
        <v>15</v>
      </c>
      <c r="F6" s="34" t="s">
        <v>16</v>
      </c>
      <c r="G6" s="39">
        <f>IF(G4&gt;1,_xlfn.STDEV.S($B$7:$B$26),"")</f>
        <v>1.18154136618233</v>
      </c>
      <c r="H6" s="36" t="s">
        <v>11</v>
      </c>
    </row>
    <row r="7" ht="18" customHeight="1" spans="1:8">
      <c r="A7" s="40">
        <v>1</v>
      </c>
      <c r="B7" s="41">
        <v>15.78</v>
      </c>
      <c r="C7" s="42">
        <f t="shared" ref="C7:C26" si="0">IF($B7="","",$B7-$G$5)</f>
        <v>-1.118</v>
      </c>
      <c r="D7" s="43">
        <f t="shared" ref="D7:D26" si="1">IF($C7="","",$C7^2)</f>
        <v>1.249924</v>
      </c>
      <c r="F7" s="34" t="s">
        <v>17</v>
      </c>
      <c r="G7" s="44">
        <f>IF(G4&gt;1,G6/G5,"")</f>
        <v>0.0699219650954153</v>
      </c>
      <c r="H7" s="36" t="s">
        <v>18</v>
      </c>
    </row>
    <row r="8" ht="18" customHeight="1" spans="1:8">
      <c r="A8" s="40">
        <v>2</v>
      </c>
      <c r="B8" s="41">
        <v>15.8</v>
      </c>
      <c r="C8" s="42">
        <f t="shared" si="0"/>
        <v>-1.098</v>
      </c>
      <c r="D8" s="43">
        <f t="shared" si="1"/>
        <v>1.205604</v>
      </c>
      <c r="F8" s="34" t="s">
        <v>19</v>
      </c>
      <c r="G8" s="45">
        <v>0.15</v>
      </c>
      <c r="H8" s="36" t="s">
        <v>20</v>
      </c>
    </row>
    <row r="9" ht="18" customHeight="1" spans="1:8">
      <c r="A9" s="40">
        <v>3</v>
      </c>
      <c r="B9" s="41">
        <v>18.1</v>
      </c>
      <c r="C9" s="42">
        <f t="shared" si="0"/>
        <v>1.202</v>
      </c>
      <c r="D9" s="43">
        <f t="shared" si="1"/>
        <v>1.444804</v>
      </c>
      <c r="F9" s="34" t="s">
        <v>21</v>
      </c>
      <c r="G9" s="46" t="str">
        <f>IF(G7="","",IF(G7&lt;=G8,"合格","不合格"))</f>
        <v>合格</v>
      </c>
      <c r="H9" s="36" t="s">
        <v>11</v>
      </c>
    </row>
    <row r="10" ht="18" customHeight="1" spans="1:8">
      <c r="A10" s="40">
        <v>4</v>
      </c>
      <c r="B10" s="41">
        <v>18.1</v>
      </c>
      <c r="C10" s="42">
        <f t="shared" si="0"/>
        <v>1.202</v>
      </c>
      <c r="D10" s="43">
        <f t="shared" si="1"/>
        <v>1.444804</v>
      </c>
      <c r="F10" s="34" t="s">
        <v>22</v>
      </c>
      <c r="G10" s="47">
        <f>SUM($D$7:$D$26)</f>
        <v>12.56436</v>
      </c>
      <c r="H10" s="36" t="s">
        <v>11</v>
      </c>
    </row>
    <row r="11" ht="18" customHeight="1" spans="1:8">
      <c r="A11" s="40">
        <v>5</v>
      </c>
      <c r="B11" s="41">
        <v>17.9</v>
      </c>
      <c r="C11" s="42">
        <f t="shared" si="0"/>
        <v>1.002</v>
      </c>
      <c r="D11" s="43">
        <f t="shared" si="1"/>
        <v>1.004004</v>
      </c>
      <c r="F11" s="34" t="s">
        <v>23</v>
      </c>
      <c r="G11" s="44">
        <f>IF(G4&gt;1,SQRT(G10/((G4-1)*G5^2)),"")</f>
        <v>0.0699219650954153</v>
      </c>
      <c r="H11" s="36" t="s">
        <v>24</v>
      </c>
    </row>
    <row r="12" ht="18" customHeight="1" spans="1:8">
      <c r="A12" s="40">
        <v>6</v>
      </c>
      <c r="B12" s="41">
        <v>17.8</v>
      </c>
      <c r="C12" s="42">
        <f t="shared" si="0"/>
        <v>0.902000000000001</v>
      </c>
      <c r="D12" s="43">
        <f t="shared" si="1"/>
        <v>0.813604000000002</v>
      </c>
      <c r="F12" s="34" t="s">
        <v>25</v>
      </c>
      <c r="G12" s="48">
        <f>IF(OR(G7="",G11=""),"",ABS(G7-G11))</f>
        <v>0</v>
      </c>
      <c r="H12" s="36" t="s">
        <v>26</v>
      </c>
    </row>
    <row r="13" spans="1:8">
      <c r="A13" s="40">
        <v>7</v>
      </c>
      <c r="B13" s="41">
        <v>17.9</v>
      </c>
      <c r="C13" s="42">
        <f t="shared" si="0"/>
        <v>1.002</v>
      </c>
      <c r="D13" s="43">
        <f t="shared" si="1"/>
        <v>1.004004</v>
      </c>
    </row>
    <row r="14" spans="1:8">
      <c r="A14" s="40">
        <v>8</v>
      </c>
      <c r="B14" s="41">
        <v>16.5</v>
      </c>
      <c r="C14" s="42">
        <f t="shared" si="0"/>
        <v>-0.398</v>
      </c>
      <c r="D14" s="43">
        <f t="shared" si="1"/>
        <v>0.158404</v>
      </c>
    </row>
    <row r="15" spans="1:8">
      <c r="A15" s="40">
        <v>9</v>
      </c>
      <c r="B15" s="41">
        <v>16.1</v>
      </c>
      <c r="C15" s="42">
        <f t="shared" si="0"/>
        <v>-0.797999999999998</v>
      </c>
      <c r="D15" s="43">
        <f t="shared" si="1"/>
        <v>0.636803999999997</v>
      </c>
    </row>
    <row r="16" spans="1:8">
      <c r="A16" s="40">
        <v>10</v>
      </c>
      <c r="B16" s="41">
        <v>15</v>
      </c>
      <c r="C16" s="42">
        <f t="shared" si="0"/>
        <v>-1.898</v>
      </c>
      <c r="D16" s="43">
        <f t="shared" si="1"/>
        <v>3.602404</v>
      </c>
    </row>
    <row r="17" spans="1:4">
      <c r="A17" s="40">
        <v>11</v>
      </c>
      <c r="B17" s="41"/>
      <c r="C17" s="42" t="str">
        <f t="shared" si="0"/>
        <v/>
      </c>
      <c r="D17" s="43" t="str">
        <f t="shared" si="1"/>
        <v/>
      </c>
    </row>
    <row r="18" spans="1:4">
      <c r="A18" s="40">
        <v>12</v>
      </c>
      <c r="B18" s="41"/>
      <c r="C18" s="42" t="str">
        <f t="shared" si="0"/>
        <v/>
      </c>
      <c r="D18" s="43" t="str">
        <f t="shared" si="1"/>
        <v/>
      </c>
    </row>
    <row r="19" spans="1:4">
      <c r="A19" s="40">
        <v>13</v>
      </c>
      <c r="B19" s="41"/>
      <c r="C19" s="42" t="str">
        <f t="shared" si="0"/>
        <v/>
      </c>
      <c r="D19" s="43" t="str">
        <f t="shared" si="1"/>
        <v/>
      </c>
    </row>
    <row r="20" spans="1:4">
      <c r="A20" s="40">
        <v>14</v>
      </c>
      <c r="B20" s="41"/>
      <c r="C20" s="42" t="str">
        <f t="shared" si="0"/>
        <v/>
      </c>
      <c r="D20" s="43" t="str">
        <f t="shared" si="1"/>
        <v/>
      </c>
    </row>
    <row r="21" spans="1:4">
      <c r="A21" s="40">
        <v>15</v>
      </c>
      <c r="B21" s="41"/>
      <c r="C21" s="42" t="str">
        <f t="shared" si="0"/>
        <v/>
      </c>
      <c r="D21" s="43" t="str">
        <f t="shared" si="1"/>
        <v/>
      </c>
    </row>
    <row r="22" spans="1:4">
      <c r="A22" s="40">
        <v>16</v>
      </c>
      <c r="B22" s="41"/>
      <c r="C22" s="42" t="str">
        <f t="shared" si="0"/>
        <v/>
      </c>
      <c r="D22" s="43" t="str">
        <f t="shared" si="1"/>
        <v/>
      </c>
    </row>
    <row r="23" spans="1:4">
      <c r="A23" s="40">
        <v>17</v>
      </c>
      <c r="B23" s="41"/>
      <c r="C23" s="42" t="str">
        <f t="shared" si="0"/>
        <v/>
      </c>
      <c r="D23" s="43" t="str">
        <f t="shared" si="1"/>
        <v/>
      </c>
    </row>
    <row r="24" spans="1:4">
      <c r="A24" s="40">
        <v>18</v>
      </c>
      <c r="B24" s="41"/>
      <c r="C24" s="42" t="str">
        <f t="shared" si="0"/>
        <v/>
      </c>
      <c r="D24" s="43" t="str">
        <f t="shared" si="1"/>
        <v/>
      </c>
    </row>
    <row r="25" spans="1:4">
      <c r="A25" s="40">
        <v>19</v>
      </c>
      <c r="B25" s="41"/>
      <c r="C25" s="42" t="str">
        <f t="shared" si="0"/>
        <v/>
      </c>
      <c r="D25" s="43" t="str">
        <f t="shared" si="1"/>
        <v/>
      </c>
    </row>
    <row r="26" spans="1:4">
      <c r="A26" s="40">
        <v>20</v>
      </c>
      <c r="B26" s="41"/>
      <c r="C26" s="42" t="str">
        <f t="shared" si="0"/>
        <v/>
      </c>
      <c r="D26" s="43" t="str">
        <f t="shared" si="1"/>
        <v/>
      </c>
    </row>
    <row r="28" ht="60" customHeight="1" spans="1:4">
      <c r="A28" s="49" t="s">
        <v>27</v>
      </c>
      <c r="B28" s="33"/>
      <c r="C28" s="33"/>
      <c r="D28" s="33"/>
    </row>
    <row r="29" spans="1:4">
      <c r="A29" s="33"/>
      <c r="B29" s="33"/>
      <c r="C29" s="33"/>
      <c r="D29" s="33"/>
    </row>
    <row r="30" spans="1:4">
      <c r="A30" s="33"/>
      <c r="B30" s="33"/>
      <c r="C30" s="33"/>
      <c r="D30" s="33"/>
    </row>
  </sheetData>
  <mergeCells count="6">
    <mergeCell ref="A1:H1"/>
    <mergeCell ref="B3:D3"/>
    <mergeCell ref="F3:H3"/>
    <mergeCell ref="B4:D4"/>
    <mergeCell ref="B5:D5"/>
    <mergeCell ref="A28:D30"/>
  </mergeCells>
  <conditionalFormatting sqref="G9">
    <cfRule type="expression" dxfId="0" priority="1">
      <formula>$G$9="合格"</formula>
    </cfRule>
    <cfRule type="expression" dxfId="1" priority="2">
      <formula>$G$9="不合格"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workbookViewId="0">
      <selection activeCell="A1" sqref="A1:H1"/>
    </sheetView>
  </sheetViews>
  <sheetFormatPr defaultColWidth="9" defaultRowHeight="14.4" outlineLevelCol="7"/>
  <cols>
    <col min="1" max="1" width="10" customWidth="1"/>
    <col min="2" max="2" width="14" customWidth="1"/>
    <col min="3" max="4" width="16" customWidth="1"/>
    <col min="5" max="5" width="2" customWidth="1"/>
    <col min="6" max="6" width="20" customWidth="1"/>
    <col min="7" max="7" width="16" customWidth="1"/>
    <col min="8" max="8" width="18" customWidth="1"/>
  </cols>
  <sheetData>
    <row r="1" ht="30" customHeight="1" spans="1:8">
      <c r="A1" s="1" t="s">
        <v>28</v>
      </c>
    </row>
    <row r="3" ht="22" customHeight="1" spans="1:8">
      <c r="A3" s="2" t="s">
        <v>29</v>
      </c>
      <c r="B3" s="3" t="s">
        <v>30</v>
      </c>
      <c r="C3" s="4"/>
      <c r="D3" s="5"/>
      <c r="F3" s="6" t="s">
        <v>3</v>
      </c>
    </row>
    <row r="4" ht="18" customHeight="1" spans="1:8">
      <c r="A4" s="2" t="s">
        <v>31</v>
      </c>
      <c r="B4" s="3" t="s">
        <v>32</v>
      </c>
      <c r="C4" s="4"/>
      <c r="D4" s="5"/>
      <c r="F4" s="7" t="s">
        <v>6</v>
      </c>
      <c r="G4" s="8">
        <f>COUNT($B$7:$B$26)</f>
        <v>10</v>
      </c>
      <c r="H4" s="9" t="s">
        <v>7</v>
      </c>
    </row>
    <row r="5" ht="18" customHeight="1" spans="1:8">
      <c r="A5" s="2" t="s">
        <v>8</v>
      </c>
      <c r="B5" s="3"/>
      <c r="C5" s="4"/>
      <c r="D5" s="5"/>
      <c r="F5" s="7" t="s">
        <v>33</v>
      </c>
      <c r="G5" s="10">
        <f>IF(G4&gt;0,AVERAGE($B$7:$B$26),"")</f>
        <v>16.9</v>
      </c>
      <c r="H5" s="9" t="s">
        <v>11</v>
      </c>
    </row>
    <row r="6" ht="18" customHeight="1" spans="1:8">
      <c r="A6" s="11" t="s">
        <v>12</v>
      </c>
      <c r="B6" s="11" t="s">
        <v>34</v>
      </c>
      <c r="C6" s="11" t="s">
        <v>35</v>
      </c>
      <c r="D6" s="11" t="s">
        <v>36</v>
      </c>
      <c r="F6" s="7" t="s">
        <v>16</v>
      </c>
      <c r="G6" s="12">
        <f>IF(G4&gt;1,_xlfn.STDEV.S($B$7:$B$26),"")</f>
        <v>1.17945373419694</v>
      </c>
      <c r="H6" s="9" t="s">
        <v>11</v>
      </c>
    </row>
    <row r="7" ht="18" customHeight="1" spans="1:8">
      <c r="A7" s="13">
        <v>1</v>
      </c>
      <c r="B7" s="14">
        <v>15.8</v>
      </c>
      <c r="C7" s="15">
        <f t="shared" ref="C7:C26" si="0">IF($B7="","",$B7-$G$5)</f>
        <v>-1.1</v>
      </c>
      <c r="D7" s="16">
        <f t="shared" ref="D7:D26" si="1">IF($C7="","",$C7^2)</f>
        <v>1.21</v>
      </c>
      <c r="F7" s="7" t="s">
        <v>37</v>
      </c>
      <c r="G7" s="17">
        <f>IF(G4&gt;1,G6/G5,"")</f>
        <v>0.0697901617868013</v>
      </c>
      <c r="H7" s="9" t="s">
        <v>38</v>
      </c>
    </row>
    <row r="8" ht="18" customHeight="1" spans="1:8">
      <c r="A8" s="13">
        <v>2</v>
      </c>
      <c r="B8" s="14">
        <v>15.8</v>
      </c>
      <c r="C8" s="15">
        <f t="shared" si="0"/>
        <v>-1.1</v>
      </c>
      <c r="D8" s="16">
        <f t="shared" si="1"/>
        <v>1.21</v>
      </c>
      <c r="F8" s="7" t="s">
        <v>19</v>
      </c>
      <c r="G8" s="18">
        <v>0.15</v>
      </c>
      <c r="H8" s="9" t="s">
        <v>20</v>
      </c>
    </row>
    <row r="9" ht="18" customHeight="1" spans="1:8">
      <c r="A9" s="13">
        <v>3</v>
      </c>
      <c r="B9" s="14">
        <v>18.1</v>
      </c>
      <c r="C9" s="15">
        <f t="shared" si="0"/>
        <v>1.2</v>
      </c>
      <c r="D9" s="16">
        <f t="shared" si="1"/>
        <v>1.44000000000001</v>
      </c>
      <c r="F9" s="7" t="s">
        <v>21</v>
      </c>
      <c r="G9" s="19" t="str">
        <f>IF(G7="","",IF(G7&lt;=G8,"合格","不合格"))</f>
        <v>合格</v>
      </c>
      <c r="H9" s="9" t="s">
        <v>11</v>
      </c>
    </row>
    <row r="10" ht="18" customHeight="1" spans="1:8">
      <c r="A10" s="13">
        <v>4</v>
      </c>
      <c r="B10" s="14">
        <v>18.1</v>
      </c>
      <c r="C10" s="15">
        <f t="shared" si="0"/>
        <v>1.2</v>
      </c>
      <c r="D10" s="16">
        <f t="shared" si="1"/>
        <v>1.44000000000001</v>
      </c>
      <c r="F10" s="7" t="s">
        <v>39</v>
      </c>
      <c r="G10" s="12">
        <f>SUM($D$7:$D$26)</f>
        <v>12.52</v>
      </c>
      <c r="H10" s="9" t="s">
        <v>11</v>
      </c>
    </row>
    <row r="11" ht="18" customHeight="1" spans="1:8">
      <c r="A11" s="13">
        <v>5</v>
      </c>
      <c r="B11" s="14">
        <v>17.9</v>
      </c>
      <c r="C11" s="15">
        <f t="shared" si="0"/>
        <v>1</v>
      </c>
      <c r="D11" s="16">
        <f t="shared" si="1"/>
        <v>1</v>
      </c>
      <c r="F11" s="7" t="s">
        <v>40</v>
      </c>
      <c r="G11" s="17">
        <f>IF(G4&gt;1,SQRT(G10/((G4-1)*G5^2)),"")</f>
        <v>0.0697901617868013</v>
      </c>
      <c r="H11" s="9" t="s">
        <v>24</v>
      </c>
    </row>
    <row r="12" ht="18" customHeight="1" spans="1:8">
      <c r="A12" s="13">
        <v>6</v>
      </c>
      <c r="B12" s="14">
        <v>17.8</v>
      </c>
      <c r="C12" s="15">
        <f t="shared" si="0"/>
        <v>0.900000000000002</v>
      </c>
      <c r="D12" s="16">
        <f t="shared" si="1"/>
        <v>0.810000000000004</v>
      </c>
      <c r="F12" s="7" t="s">
        <v>25</v>
      </c>
      <c r="G12" s="20">
        <f>IF(OR(G7="",G11=""),"",ABS(G7-G11))</f>
        <v>0</v>
      </c>
      <c r="H12" s="9" t="s">
        <v>26</v>
      </c>
    </row>
    <row r="13" spans="1:8">
      <c r="A13" s="13">
        <v>7</v>
      </c>
      <c r="B13" s="14">
        <v>17.9</v>
      </c>
      <c r="C13" s="15">
        <f t="shared" si="0"/>
        <v>1</v>
      </c>
      <c r="D13" s="16">
        <f t="shared" si="1"/>
        <v>1</v>
      </c>
    </row>
    <row r="14" spans="1:8">
      <c r="A14" s="13">
        <v>8</v>
      </c>
      <c r="B14" s="14">
        <v>16.5</v>
      </c>
      <c r="C14" s="15">
        <f t="shared" si="0"/>
        <v>-0.399999999999999</v>
      </c>
      <c r="D14" s="16">
        <f t="shared" si="1"/>
        <v>0.159999999999999</v>
      </c>
    </row>
    <row r="15" spans="1:8">
      <c r="A15" s="13">
        <v>9</v>
      </c>
      <c r="B15" s="14">
        <v>16.1</v>
      </c>
      <c r="C15" s="15">
        <f t="shared" si="0"/>
        <v>-0.799999999999997</v>
      </c>
      <c r="D15" s="16">
        <f t="shared" si="1"/>
        <v>0.639999999999995</v>
      </c>
    </row>
    <row r="16" spans="1:8">
      <c r="A16" s="13">
        <v>10</v>
      </c>
      <c r="B16" s="14">
        <v>15</v>
      </c>
      <c r="C16" s="15">
        <f t="shared" si="0"/>
        <v>-1.9</v>
      </c>
      <c r="D16" s="16">
        <f t="shared" si="1"/>
        <v>3.60999999999999</v>
      </c>
    </row>
    <row r="17" spans="1:4">
      <c r="A17" s="13">
        <v>11</v>
      </c>
      <c r="B17" s="14"/>
      <c r="C17" s="15" t="str">
        <f t="shared" si="0"/>
        <v/>
      </c>
      <c r="D17" s="16" t="str">
        <f t="shared" si="1"/>
        <v/>
      </c>
    </row>
    <row r="18" spans="1:4">
      <c r="A18" s="13">
        <v>12</v>
      </c>
      <c r="B18" s="14"/>
      <c r="C18" s="15" t="str">
        <f t="shared" si="0"/>
        <v/>
      </c>
      <c r="D18" s="16" t="str">
        <f t="shared" si="1"/>
        <v/>
      </c>
    </row>
    <row r="19" spans="1:4">
      <c r="A19" s="13">
        <v>13</v>
      </c>
      <c r="B19" s="14"/>
      <c r="C19" s="15" t="str">
        <f t="shared" si="0"/>
        <v/>
      </c>
      <c r="D19" s="16" t="str">
        <f t="shared" si="1"/>
        <v/>
      </c>
    </row>
    <row r="20" spans="1:4">
      <c r="A20" s="13">
        <v>14</v>
      </c>
      <c r="B20" s="14"/>
      <c r="C20" s="15" t="str">
        <f t="shared" si="0"/>
        <v/>
      </c>
      <c r="D20" s="16" t="str">
        <f t="shared" si="1"/>
        <v/>
      </c>
    </row>
    <row r="21" spans="1:4">
      <c r="A21" s="13">
        <v>15</v>
      </c>
      <c r="B21" s="14"/>
      <c r="C21" s="15" t="str">
        <f t="shared" si="0"/>
        <v/>
      </c>
      <c r="D21" s="16" t="str">
        <f t="shared" si="1"/>
        <v/>
      </c>
    </row>
    <row r="22" spans="1:4">
      <c r="A22" s="13">
        <v>16</v>
      </c>
      <c r="B22" s="14"/>
      <c r="C22" s="15" t="str">
        <f t="shared" si="0"/>
        <v/>
      </c>
      <c r="D22" s="16" t="str">
        <f t="shared" si="1"/>
        <v/>
      </c>
    </row>
    <row r="23" spans="1:4">
      <c r="A23" s="13">
        <v>17</v>
      </c>
      <c r="B23" s="14"/>
      <c r="C23" s="15" t="str">
        <f t="shared" si="0"/>
        <v/>
      </c>
      <c r="D23" s="16" t="str">
        <f t="shared" si="1"/>
        <v/>
      </c>
    </row>
    <row r="24" spans="1:4">
      <c r="A24" s="13">
        <v>18</v>
      </c>
      <c r="B24" s="14"/>
      <c r="C24" s="15" t="str">
        <f t="shared" si="0"/>
        <v/>
      </c>
      <c r="D24" s="16" t="str">
        <f t="shared" si="1"/>
        <v/>
      </c>
    </row>
    <row r="25" spans="1:4">
      <c r="A25" s="13">
        <v>19</v>
      </c>
      <c r="B25" s="14"/>
      <c r="C25" s="15" t="str">
        <f t="shared" si="0"/>
        <v/>
      </c>
      <c r="D25" s="16" t="str">
        <f t="shared" si="1"/>
        <v/>
      </c>
    </row>
    <row r="26" spans="1:4">
      <c r="A26" s="13">
        <v>20</v>
      </c>
      <c r="B26" s="14"/>
      <c r="C26" s="15" t="str">
        <f t="shared" si="0"/>
        <v/>
      </c>
      <c r="D26" s="16" t="str">
        <f t="shared" si="1"/>
        <v/>
      </c>
    </row>
    <row r="28" ht="60" customHeight="1" spans="1:4">
      <c r="A28" s="21" t="s">
        <v>41</v>
      </c>
      <c r="B28" s="22"/>
      <c r="C28" s="22"/>
      <c r="D28" s="23"/>
    </row>
    <row r="29" spans="1:4">
      <c r="A29" s="24"/>
      <c r="D29" s="25"/>
    </row>
    <row r="30" spans="1:4">
      <c r="A30" s="26"/>
      <c r="B30" s="27"/>
      <c r="C30" s="27"/>
      <c r="D30" s="28"/>
    </row>
  </sheetData>
  <mergeCells count="6">
    <mergeCell ref="A1:H1"/>
    <mergeCell ref="B3:D3"/>
    <mergeCell ref="F3:H3"/>
    <mergeCell ref="B4:D4"/>
    <mergeCell ref="B5:D5"/>
    <mergeCell ref="A28:D30"/>
  </mergeCells>
  <conditionalFormatting sqref="G9">
    <cfRule type="expression" dxfId="0" priority="1">
      <formula>$G$9="合格"</formula>
    </cfRule>
    <cfRule type="expression" dxfId="1" priority="2">
      <formula>$G$9="不合格"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σr计算</vt:lpstr>
      <vt:lpstr>示例(已填)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韩瑞艳</cp:lastModifiedBy>
  <dcterms:created xsi:type="dcterms:W3CDTF">2026-02-11T03:22:05Z</dcterms:created>
  <dcterms:modified xsi:type="dcterms:W3CDTF">2026-02-11T03:29:32Z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791CE2638B5343E883C068FEF052B110_12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