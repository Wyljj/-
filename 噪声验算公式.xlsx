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A058EE4-1BD9-4ECD-B3A1-70E62A276839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C3" i="1"/>
  <c r="E2" i="1"/>
  <c r="F2" i="1" s="1"/>
  <c r="C2" i="1"/>
</calcChain>
</file>

<file path=xl/sharedStrings.xml><?xml version="1.0" encoding="utf-8"?>
<sst xmlns="http://schemas.openxmlformats.org/spreadsheetml/2006/main" count="9" uniqueCount="8">
  <si>
    <t>监测时间</t>
  </si>
  <si>
    <t>Leq</t>
  </si>
  <si>
    <t>SEL</t>
  </si>
  <si>
    <t>T(s)</t>
  </si>
  <si>
    <t>T(min)</t>
  </si>
  <si>
    <t>10min</t>
  </si>
  <si>
    <t>20min</t>
  </si>
  <si>
    <t>通知时间：2019.3.18 起开始执行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</si>
</sst>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11"/>
      <name val="宋体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346018</xdr:colOff>
      <xdr:row>0</xdr:row>
      <xdr:rowOff>184150</xdr:rowOff>
    </xdr:from>
    <xdr:to>
      <xdr:col>14</xdr:col>
      <xdr:colOff>608947</xdr:colOff>
      <xdr:row>14</xdr:row>
      <xdr:rowOff>31129</xdr:rowOff>
    </xdr:to>
    <xdr:pic>
      <xdr:nvPicPr>
        <xdr:cNvPr id="2" name="图片 1" descr="0be38c47ab79c38d94693a8a520ca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778318" y="184150"/>
          <a:ext cx="5292129" cy="295847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topLeftCell="B1" workbookViewId="0">
      <selection activeCell="E7" sqref="E7"/>
    </sheetView>
  </sheetViews>
  <sheetFormatPr defaultColWidth="9" defaultRowHeight="14" x14ac:dyDescent="0.25"/>
  <cols>
    <col min="2" max="2" width="9" style="1"/>
    <col min="3" max="3" width="14.26953125" style="2" customWidth="1"/>
    <col min="4" max="4" width="10.453125" style="1" customWidth="1"/>
    <col min="5" max="5" width="11.7265625" style="2" customWidth="1"/>
    <col min="6" max="6" width="9" style="1"/>
  </cols>
  <sheetData>
    <row r="1" spans="1:6" ht="25" customHeight="1" x14ac:dyDescent="0.25">
      <c r="A1" s="3" t="s">
        <v>0</v>
      </c>
      <c r="B1" s="4" t="s">
        <v>1</v>
      </c>
      <c r="C1" s="5" t="s">
        <v>2</v>
      </c>
      <c r="D1" s="6" t="s">
        <v>2</v>
      </c>
      <c r="E1" s="5" t="s">
        <v>3</v>
      </c>
      <c r="F1" s="7" t="s">
        <v>4</v>
      </c>
    </row>
    <row r="2" spans="1:6" ht="33" customHeight="1" x14ac:dyDescent="0.25">
      <c r="A2" s="8" t="s">
        <v>5</v>
      </c>
      <c r="B2" s="9">
        <v>53.9</v>
      </c>
      <c r="C2" s="10">
        <f>B2+10*LOG(600/1)</f>
        <v>81.68151250383643</v>
      </c>
      <c r="D2" s="11">
        <v>71</v>
      </c>
      <c r="E2" s="10">
        <f>(10^((D2-B2)/10))</f>
        <v>51.286138399136533</v>
      </c>
      <c r="F2" s="12">
        <f>E2/60</f>
        <v>0.85476897331894219</v>
      </c>
    </row>
    <row r="3" spans="1:6" ht="33" customHeight="1" x14ac:dyDescent="0.25">
      <c r="A3" s="13" t="s">
        <v>6</v>
      </c>
      <c r="B3" s="14">
        <v>44.3</v>
      </c>
      <c r="C3" s="15">
        <f>B3+10*LOG(1200/1)</f>
        <v>75.091812460476248</v>
      </c>
      <c r="D3" s="16">
        <v>51.3</v>
      </c>
      <c r="E3" s="15">
        <f>(10^((D3-B3)/10))</f>
        <v>5.0118723362727229</v>
      </c>
      <c r="F3" s="17">
        <f>E3/60</f>
        <v>8.3531205604545383E-2</v>
      </c>
    </row>
    <row r="4" spans="1:6" x14ac:dyDescent="0.25">
      <c r="A4" s="18" t="s">
        <v>7</v>
      </c>
      <c r="B4" s="19"/>
      <c r="C4" s="19"/>
      <c r="D4" s="19"/>
      <c r="E4" s="19"/>
      <c r="F4" s="20"/>
    </row>
    <row r="5" spans="1:6" x14ac:dyDescent="0.25">
      <c r="A5" s="21"/>
      <c r="B5" s="22"/>
      <c r="C5" s="22"/>
      <c r="D5" s="22"/>
      <c r="E5" s="22"/>
      <c r="F5" s="23"/>
    </row>
  </sheetData>
  <mergeCells count="1">
    <mergeCell ref="A4:F5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Juck</dc:creator>
  <cp:lastModifiedBy>仪衡 钧</cp:lastModifiedBy>
  <dcterms:created xsi:type="dcterms:W3CDTF">2019-03-17T21:33:00Z</dcterms:created>
  <dcterms:modified xsi:type="dcterms:W3CDTF">2024-09-05T04:00:14Z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  <property fmtid="{D5CDD505-2E9C-101B-9397-08002B2CF9AE}" pid="3" name="ICV">
    <vt:lpwstr>c51d81cbfbb842b4be7ec3b8ea2b2c7f_22</vt:lpwstr>
  </property>
</Properties>
</file>