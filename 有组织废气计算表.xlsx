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192352b1d2a5117/Desktop/计算模板/"/>
    </mc:Choice>
  </mc:AlternateContent>
  <xr:revisionPtr revIDLastSave="86" documentId="13_ncr:1_{17553DCA-2DDB-4ED3-BA6C-579F084CC126}" xr6:coauthVersionLast="47" xr6:coauthVersionMax="47" xr10:uidLastSave="{1BE55452-D223-4EB5-A324-0FBAFED304F6}"/>
  <bookViews>
    <workbookView xWindow="20280" yWindow="0" windowWidth="14210" windowHeight="13770" tabRatio="1000" firstSheet="1" activeTab="3" xr2:uid="{00000000-000D-0000-FFFF-FFFF00000000}"/>
  </bookViews>
  <sheets>
    <sheet name="Sheet1" sheetId="1" state="hidden" r:id="rId1"/>
    <sheet name="有组织废气" sheetId="2" r:id="rId2"/>
    <sheet name="比对  颗粒物、流速、温度" sheetId="3" r:id="rId3"/>
    <sheet name="比对氮氧化物" sheetId="4" r:id="rId4"/>
    <sheet name="比对二氧化硫" sheetId="5" r:id="rId5"/>
    <sheet name="比对含氧量" sheetId="6" r:id="rId6"/>
    <sheet name="示值误差、量程漂移" sheetId="7" r:id="rId7"/>
    <sheet name="水质在线比对" sheetId="8" r:id="rId8"/>
  </sheets>
  <definedNames>
    <definedName name="_ali_change_223388239">Sheet1!$A$285:$F$285,Sheet1!$C$300:$C$306,Sheet1!$C$308:$C$313,Sheet1!$C$316:$C$328,Sheet1!$C$330:$C$338,Sheet1!$C$341:$C$342,Sheet1!$C$344:$C$348,Sheet1!$C$350,Sheet1!$B$290:$B$357,Sheet1!$A$286:$E$289,Sheet1!$A$290:$A$299,Sheet1!$C$290:$E$298,Sheet1!$E$299:$E$301,Sheet1!$F$286:$F$301,Sheet1!$F$315,有组织废气!$E$3:$H$8,有组织废气!$E$19:$H$20,有组织废气!$E$16:$H$17,有组织废气!$E$13:$H$14,有组织废气!$E$10:$H$11,有组织废气!$E$9:$G$9,有组织废气!$J$1,有组织废气!$E$18:$G$18,有组织废气!$E$12:$G$12,比对氮氧化物!$C$4:$D$9,比对氮氧化物!$C$23:$E$23,比对二氧化硫!$D$4:$D$9,比对含氧量!$C$4:$D$9,比对含氧量!$C$14,比对含氧量!$C$22:$E$22</definedName>
    <definedName name="_ali_change_223388246">Sheet1!$A$285:$F$285,Sheet1!$F$286:$F$288,Sheet1!$A$298:$F$298,Sheet1!$E$299:$F$303,Sheet1!$D$1,Sheet1!$A$304:$E$305,Sheet1!$C$306:$F$306,Sheet1!$C$307:$E$308,Sheet1!$A$306:$B$309,Sheet1!$C$309,Sheet1!$A$311:$D$313,Sheet1!$E$312:$F$313,Sheet1!$E$311,Sheet1!$F$304,Sheet1!$F$315,Sheet1!$G$304:$G$315,有组织废气!$E$3:$H$8,有组织废气!$E$19:$H$20,有组织废气!$E$16:$H$17,有组织废气!$E$13:$H$14,有组织废气!$E$10:$H$11,有组织废气!$E$9:$G$9,有组织废气!$J$1,有组织废气!$E$18:$G$18,有组织废气!$E$12:$G$12</definedName>
    <definedName name="_ali_follow_223388239">all</definedName>
    <definedName name="_ali_follow_223388246">all</definedName>
    <definedName name="_xlnm._FilterDatabase" localSheetId="0" hidden="1">Sheet1!$A$1:$I$169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D5" i="4"/>
  <c r="D6" i="4"/>
  <c r="D7" i="4"/>
  <c r="E7" i="4" s="1"/>
  <c r="D8" i="4"/>
  <c r="D9" i="4"/>
  <c r="E9" i="4" s="1"/>
  <c r="D10" i="4"/>
  <c r="E10" i="4" s="1"/>
  <c r="D11" i="4"/>
  <c r="E11" i="4" s="1"/>
  <c r="D12" i="4"/>
  <c r="E12" i="4" s="1"/>
  <c r="D4" i="4"/>
  <c r="D13" i="4" s="1"/>
  <c r="G15" i="4" s="1"/>
  <c r="G12" i="3"/>
  <c r="D12" i="3"/>
  <c r="G11" i="3"/>
  <c r="D11" i="3"/>
  <c r="G9" i="3"/>
  <c r="G10" i="3"/>
  <c r="H3" i="2"/>
  <c r="H4" i="2"/>
  <c r="H5" i="2"/>
  <c r="H6" i="2"/>
  <c r="H7" i="2"/>
  <c r="H8" i="2"/>
  <c r="E10" i="2"/>
  <c r="F10" i="2"/>
  <c r="G10" i="2"/>
  <c r="E15" i="8"/>
  <c r="F15" i="8" s="1"/>
  <c r="E14" i="8"/>
  <c r="F14" i="8" s="1"/>
  <c r="E13" i="8"/>
  <c r="F13" i="8" s="1"/>
  <c r="E12" i="8"/>
  <c r="F12" i="8" s="1"/>
  <c r="E11" i="8"/>
  <c r="F11" i="8" s="1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E19" i="7"/>
  <c r="E18" i="7"/>
  <c r="E16" i="7"/>
  <c r="E15" i="7"/>
  <c r="E14" i="7"/>
  <c r="E13" i="7"/>
  <c r="E12" i="7"/>
  <c r="E10" i="7"/>
  <c r="E9" i="7"/>
  <c r="E8" i="7"/>
  <c r="E7" i="7"/>
  <c r="E6" i="7"/>
  <c r="E4" i="7"/>
  <c r="E3" i="7"/>
  <c r="E2" i="7"/>
  <c r="B36" i="6"/>
  <c r="G22" i="6"/>
  <c r="F22" i="6"/>
  <c r="G14" i="6"/>
  <c r="D13" i="6"/>
  <c r="C13" i="6"/>
  <c r="E12" i="6"/>
  <c r="E11" i="6"/>
  <c r="E10" i="6"/>
  <c r="E9" i="6"/>
  <c r="E8" i="6"/>
  <c r="E7" i="6"/>
  <c r="E6" i="6"/>
  <c r="E5" i="6"/>
  <c r="E4" i="6"/>
  <c r="G24" i="5"/>
  <c r="F24" i="5"/>
  <c r="G23" i="5"/>
  <c r="F23" i="5"/>
  <c r="D13" i="5"/>
  <c r="C13" i="5"/>
  <c r="E12" i="5"/>
  <c r="E11" i="5"/>
  <c r="E10" i="5"/>
  <c r="E9" i="5"/>
  <c r="E8" i="5"/>
  <c r="E7" i="5"/>
  <c r="E6" i="5"/>
  <c r="E5" i="5"/>
  <c r="E4" i="5"/>
  <c r="C15" i="5" s="1"/>
  <c r="C19" i="5" s="1"/>
  <c r="G24" i="4"/>
  <c r="F24" i="4"/>
  <c r="G23" i="4"/>
  <c r="F23" i="4"/>
  <c r="E8" i="4"/>
  <c r="E6" i="4"/>
  <c r="E5" i="4"/>
  <c r="E4" i="4"/>
  <c r="D10" i="3"/>
  <c r="D9" i="3"/>
  <c r="G20" i="2"/>
  <c r="F20" i="2"/>
  <c r="E20" i="2"/>
  <c r="G19" i="2"/>
  <c r="F19" i="2"/>
  <c r="E19" i="2"/>
  <c r="H18" i="2"/>
  <c r="G17" i="2"/>
  <c r="F17" i="2"/>
  <c r="E17" i="2"/>
  <c r="G16" i="2"/>
  <c r="F16" i="2"/>
  <c r="E16" i="2"/>
  <c r="H15" i="2"/>
  <c r="G14" i="2"/>
  <c r="F14" i="2"/>
  <c r="E14" i="2"/>
  <c r="G13" i="2"/>
  <c r="F13" i="2"/>
  <c r="E13" i="2"/>
  <c r="H12" i="2"/>
  <c r="G11" i="2"/>
  <c r="F11" i="2"/>
  <c r="E11" i="2"/>
  <c r="H9" i="2"/>
  <c r="C15" i="4" l="1"/>
  <c r="C18" i="4" s="1"/>
  <c r="D13" i="3"/>
  <c r="C15" i="6"/>
  <c r="C16" i="6" s="1"/>
  <c r="D23" i="3"/>
  <c r="D20" i="3"/>
  <c r="D21" i="3"/>
  <c r="D16" i="3"/>
  <c r="D17" i="3"/>
  <c r="D22" i="3"/>
  <c r="D18" i="3"/>
  <c r="H11" i="2"/>
  <c r="H14" i="2"/>
  <c r="H10" i="2"/>
  <c r="H20" i="2"/>
  <c r="H19" i="2"/>
  <c r="H13" i="2"/>
  <c r="H16" i="2"/>
  <c r="H17" i="2"/>
  <c r="D14" i="3"/>
  <c r="D15" i="3"/>
  <c r="E13" i="6"/>
  <c r="C14" i="6" s="1"/>
  <c r="E13" i="5"/>
  <c r="C14" i="5" s="1"/>
  <c r="D19" i="3"/>
  <c r="E13" i="4"/>
  <c r="C14" i="4" s="1"/>
  <c r="C19" i="4" l="1"/>
  <c r="C17" i="4"/>
  <c r="C16" i="4"/>
  <c r="C18" i="6"/>
  <c r="C17" i="6"/>
  <c r="C17" i="5"/>
  <c r="C16" i="5"/>
  <c r="C18" i="5"/>
</calcChain>
</file>

<file path=xl/sharedStrings.xml><?xml version="1.0" encoding="utf-8"?>
<sst xmlns="http://schemas.openxmlformats.org/spreadsheetml/2006/main" count="1363" uniqueCount="706">
  <si>
    <t>项目编号</t>
  </si>
  <si>
    <t>项目名称</t>
  </si>
  <si>
    <t>审核日期</t>
  </si>
  <si>
    <t>报告一级审核人员</t>
  </si>
  <si>
    <t>编制人员</t>
  </si>
  <si>
    <t>责任人</t>
  </si>
  <si>
    <t>出现问题</t>
  </si>
  <si>
    <t>备注</t>
  </si>
  <si>
    <t>相关人员如果是记录上的错误，请及时到吴小梅助理处修改，报告上的错误我们要杜绝不在发生！！</t>
  </si>
  <si>
    <t>T2019345</t>
  </si>
  <si>
    <t>排水管理处检测</t>
  </si>
  <si>
    <t>2019.8.19</t>
  </si>
  <si>
    <t>李泽昊</t>
  </si>
  <si>
    <t>大气中氨的检出限错误、导致报出结果错误</t>
  </si>
  <si>
    <t>已修改、原始记录未修改</t>
  </si>
  <si>
    <t>无固体废物流转单</t>
  </si>
  <si>
    <t>T2019409</t>
  </si>
  <si>
    <t>噪声</t>
  </si>
  <si>
    <t>吴宇</t>
  </si>
  <si>
    <t>采样记录单字迹潦草，代表点位的三角符号位置标错，监测地点描述错误</t>
  </si>
  <si>
    <t>已修改</t>
  </si>
  <si>
    <t>原始记录标准溶液有效期统一填写成配置日期</t>
  </si>
  <si>
    <t>T2019366</t>
  </si>
  <si>
    <t>机场噪声</t>
  </si>
  <si>
    <t>2019.8.21</t>
  </si>
  <si>
    <t>唐学文</t>
  </si>
  <si>
    <t>蔡栋</t>
  </si>
  <si>
    <t>机场噪声原始记录时间顺序不符合逻辑</t>
  </si>
  <si>
    <t>水质在线比对原始记录修改</t>
  </si>
  <si>
    <t>T2019387</t>
  </si>
  <si>
    <t>废水</t>
  </si>
  <si>
    <t>2019.8.26</t>
  </si>
  <si>
    <t>张稳刚</t>
  </si>
  <si>
    <t>现场照片未上传</t>
  </si>
  <si>
    <t>T2019402</t>
  </si>
  <si>
    <t>乌尔禾区环境空气质量监测</t>
  </si>
  <si>
    <t>鲁的娟</t>
  </si>
  <si>
    <t>项目名称错误，将“乌尔禾区环境空气质量监测方案”中“方案”两字剔除</t>
  </si>
  <si>
    <t>已修改，只告知</t>
  </si>
  <si>
    <t>第一页中右上角错写成“第1页，共1页”，因改为“第1页，共2页”</t>
  </si>
  <si>
    <t>蔡栋、杨晓宇</t>
  </si>
  <si>
    <t>采样记录未填写完整</t>
  </si>
  <si>
    <t>采样方法选择错误，应为《环境空气质量手工监测技术规范》</t>
  </si>
  <si>
    <t>报告中硫化氢检出限错误，原始记录正确；应为0.005mg/m3</t>
  </si>
  <si>
    <t>T2019412</t>
  </si>
  <si>
    <t>阿勒泰油气回收检测</t>
  </si>
  <si>
    <t>2019.8.27</t>
  </si>
  <si>
    <t>第二页检测日期错误”7月22日“改为”8月22日“</t>
  </si>
  <si>
    <t>T2019408</t>
  </si>
  <si>
    <t>独山子医院医疗废水</t>
  </si>
  <si>
    <t>马志军</t>
  </si>
  <si>
    <t>第一页页码错写成“第1页，共2页”，因改为“第1页，共3页”</t>
  </si>
  <si>
    <t>方法标准国标号如果一行写不下，需另起一行</t>
  </si>
  <si>
    <t>杨晓宇、吴宇</t>
  </si>
  <si>
    <t>现场照片缺失</t>
  </si>
  <si>
    <t>崔亚平</t>
  </si>
  <si>
    <t>氨氮、化学需氧量、ph、色度采样500ml，但是领了1000ml样品</t>
  </si>
  <si>
    <t>报告中BOD5生化培养箱编号写错</t>
  </si>
  <si>
    <t>报告中挥发酚检出限错误，原始记录正确；应为0.01mg/L</t>
  </si>
  <si>
    <t>挥发酚原始记录结果判定未填写</t>
  </si>
  <si>
    <t>挥发酚原始记录加标量为样品量的10倍，加标回收结果无法满足质量控制要求</t>
  </si>
  <si>
    <t>只告知，下次注意</t>
  </si>
  <si>
    <t>报告中粪大肠菌群检测仪器未填写</t>
  </si>
  <si>
    <t>吴若愚</t>
  </si>
  <si>
    <t>阴离子表面活性剂分析方法填写不完整</t>
  </si>
  <si>
    <t>氰化物加标量为样品量的10倍，加标回收结果无法满足质量控制要求</t>
  </si>
  <si>
    <t>张永亮</t>
  </si>
  <si>
    <t>六价铬字迹潦草，加标量填写错误，加标倍数过大，标准溶液浓度写错</t>
  </si>
  <si>
    <t>报告检测结果单位未填写</t>
  </si>
  <si>
    <t>六价铬数据抄错</t>
  </si>
  <si>
    <t>T2019382</t>
  </si>
  <si>
    <t>三达送样</t>
  </si>
  <si>
    <t>2019.8.28</t>
  </si>
  <si>
    <t>游离氯和总氯方法选择错误，因选择低浓度</t>
  </si>
  <si>
    <t>T2019382-021报告其中一个报告编号错误</t>
  </si>
  <si>
    <t>T2019388</t>
  </si>
  <si>
    <t>克拉玛依市人民医院</t>
  </si>
  <si>
    <t>吴宇、崔亚平</t>
  </si>
  <si>
    <t>采样记录杠改不签字</t>
  </si>
  <si>
    <t>T2019376</t>
  </si>
  <si>
    <t>排水管理处例行检测</t>
  </si>
  <si>
    <t>杜豪、杨晓宇</t>
  </si>
  <si>
    <t>采样记录字迹潦草，杠改不签字</t>
  </si>
  <si>
    <t>悬浮物原始记录单T2019376-002恒重值错误</t>
  </si>
  <si>
    <t>全盐量原始记录单T2019376-002恒重值错误</t>
  </si>
  <si>
    <t>报告中石油类和动植物油位数保留不正确，原始记录正确</t>
  </si>
  <si>
    <t>报告中石油类和动植物油检出限错误</t>
  </si>
  <si>
    <t>报告中总氮分析结果填写错误</t>
  </si>
  <si>
    <t>阴离子表面活性剂分析方法填写不完整，加标量过大无意义</t>
  </si>
  <si>
    <t>报告点位错误，缺T2019376-003的相关原始记录</t>
  </si>
  <si>
    <t>六价铬加标量过大无意义；报出结果表述不正确</t>
  </si>
  <si>
    <t>样品流转单缺少六价铬的流转记录；T2019376-003缺少总氮的流转记录</t>
  </si>
  <si>
    <t>悬浮物原始记录单T2019376-003恒重值错误</t>
  </si>
  <si>
    <t>报告T2019376-003总氮结果填错</t>
  </si>
  <si>
    <t>报告T2019376-003六价铬结果填错</t>
  </si>
  <si>
    <t>T2019376-003汞分析缺少复核</t>
  </si>
  <si>
    <t>报告被测地址描述错误</t>
  </si>
  <si>
    <t>T2019415</t>
  </si>
  <si>
    <t>采样人缺一人，无接样人</t>
  </si>
  <si>
    <t>流转记录不完整</t>
  </si>
  <si>
    <t>报告采样人员、样品状态填写错误</t>
  </si>
  <si>
    <t>T2019423</t>
  </si>
  <si>
    <t>三达送样检测</t>
  </si>
  <si>
    <t>报告T2019423-001项目名称和样品类别描述错误</t>
  </si>
  <si>
    <t>游离氯加标量过大</t>
  </si>
  <si>
    <t>T2019416</t>
  </si>
  <si>
    <t>第二污水处理厂在线比对</t>
  </si>
  <si>
    <t>张稳刚、唐学文</t>
  </si>
  <si>
    <t>采样记录中应备注质控比对结果</t>
  </si>
  <si>
    <t>以上内容已告知技术部</t>
  </si>
  <si>
    <t>T2019433</t>
  </si>
  <si>
    <t>新春油田2号注汽站锅炉废气检测</t>
  </si>
  <si>
    <t>2019.8.30</t>
  </si>
  <si>
    <t>颗粒物的检测方法填错，应为固定污染源废气 低浓度颗粒物的测定 重量法 HJ836-2017</t>
  </si>
  <si>
    <t>颗粒物检出限未填写，缺少天平编号于型号</t>
  </si>
  <si>
    <t>二氧化硫分析国标号错误，应为HJ57-2017</t>
  </si>
  <si>
    <t>张稳刚、杜豪</t>
  </si>
  <si>
    <t>采样记录检测布点图没有注明采样孔距变径处的位置</t>
  </si>
  <si>
    <t>接样人未签字</t>
  </si>
  <si>
    <t>报告内容缺少签发日期</t>
  </si>
  <si>
    <t>报告标干流量单位改成Nm3/h</t>
  </si>
  <si>
    <t>T2019430</t>
  </si>
  <si>
    <t>重5井区齐古泉组油藏钻井试油工程</t>
  </si>
  <si>
    <t>报告中点位示意图错误，无“小拐镇”</t>
  </si>
  <si>
    <t>报告中点位坐标描述错误</t>
  </si>
  <si>
    <t>T2019421</t>
  </si>
  <si>
    <t>项目名称字体大小不对，应为4号字</t>
  </si>
  <si>
    <t>报告样品编号不正确</t>
  </si>
  <si>
    <t>T2019427</t>
  </si>
  <si>
    <t>克拉玛依二污除臭废气检测</t>
  </si>
  <si>
    <t>2019.9.2</t>
  </si>
  <si>
    <t>报告中氨国标号错误</t>
  </si>
  <si>
    <t>报告中氨检出限错误</t>
  </si>
  <si>
    <t>氨分析选择方法错误，应选择50ml吸收液</t>
  </si>
  <si>
    <t>无样品流转单</t>
  </si>
  <si>
    <t>T2019432</t>
  </si>
  <si>
    <t>新奥达无组织废气</t>
  </si>
  <si>
    <t>张稳刚、杨晓宇</t>
  </si>
  <si>
    <t>采样点描述过于简单</t>
  </si>
  <si>
    <t>检测报告，非甲烷总烃加上“以碳计”</t>
  </si>
  <si>
    <t>T2019428</t>
  </si>
  <si>
    <t>华隆生态环保</t>
  </si>
  <si>
    <t>报告含水率标准方法错误</t>
  </si>
  <si>
    <t>报告砷标准方法漏写一个字</t>
  </si>
  <si>
    <t>报告ph结果抄错</t>
  </si>
  <si>
    <t>报告项目名称和委托单位字号小一号，封皮应为四号，第一页为小四</t>
  </si>
  <si>
    <t>T2019431</t>
  </si>
  <si>
    <t>总氯加标回收计算错误，吸光度保留位数错误</t>
  </si>
  <si>
    <t>报告第一页编号错误</t>
  </si>
  <si>
    <t>T2019414</t>
  </si>
  <si>
    <t>春风油田2019年永1-1评价井项目</t>
  </si>
  <si>
    <t>报告项目名称和委托单位字号小一号，封皮应为四号宋体</t>
  </si>
  <si>
    <t>马志军、鲁的娟</t>
  </si>
  <si>
    <t>原始记录和报告ph测定国标名称错误，应为土壤 pH值的测定  电位法 HJ 962-2018</t>
  </si>
  <si>
    <t>T2019434</t>
  </si>
  <si>
    <t>和布克赛尔饮用水</t>
  </si>
  <si>
    <t>2019.9.4</t>
  </si>
  <si>
    <t>样品流转日期未填写</t>
  </si>
  <si>
    <t>分析记录分析日期是按天来写，还是可以写时间段</t>
  </si>
  <si>
    <t>项目缺少检测协议，未明确检测项目</t>
  </si>
  <si>
    <t>非甲烷总烃图谱打印问题</t>
  </si>
  <si>
    <t>报告中将浓度单位由“mg/l”改为“mg/L”,L大写</t>
  </si>
  <si>
    <t>张永亮、李泽昊</t>
  </si>
  <si>
    <t>浊度原始记录不完整</t>
  </si>
  <si>
    <t>硝酸盐氮加标计算错误</t>
  </si>
  <si>
    <t>T2019426</t>
  </si>
  <si>
    <t>粪大肠未签校核人</t>
  </si>
  <si>
    <t>报告中氰化物结果录入错误</t>
  </si>
  <si>
    <t>T2019429</t>
  </si>
  <si>
    <t>绿成乳业</t>
  </si>
  <si>
    <t>2019.9.5</t>
  </si>
  <si>
    <t>报告中颗粒物需要将天平的使用型号于编号加上</t>
  </si>
  <si>
    <t>张稳刚、吴宇</t>
  </si>
  <si>
    <t>报告中二氧化硫分析国标号错误，应为HJ57-2017</t>
  </si>
  <si>
    <t>报告中缺烟气黑的结果、标准等</t>
  </si>
  <si>
    <t>报告中颗粒物缺样品编号</t>
  </si>
  <si>
    <t>采样记录无接样人签字</t>
  </si>
  <si>
    <t>T2019437</t>
  </si>
  <si>
    <t>污泥含油率</t>
  </si>
  <si>
    <t>2019.9.6</t>
  </si>
  <si>
    <t>报告编号填写错误</t>
  </si>
  <si>
    <t>报告内容中所检结果见第2页，而不是第3页</t>
  </si>
  <si>
    <t>报告页码错误</t>
  </si>
  <si>
    <t>T2019413</t>
  </si>
  <si>
    <t>重油更新井</t>
  </si>
  <si>
    <t>报告内容委托单位字号错误</t>
  </si>
  <si>
    <t>杨晓宇、杜豪</t>
  </si>
  <si>
    <t>采样记录一个样品编号错误</t>
  </si>
  <si>
    <t>采样记录点位描述不清晰</t>
  </si>
  <si>
    <t>PM2.5检出限应为0.001mg/m3</t>
  </si>
  <si>
    <t>硫化氢杠改未签字</t>
  </si>
  <si>
    <t>吴小梅</t>
  </si>
  <si>
    <t>样品领用数量与采样单不符</t>
  </si>
  <si>
    <t>含水率校核人未签字</t>
  </si>
  <si>
    <t>噪声记录杠改未签字</t>
  </si>
  <si>
    <t>噪声报告单第18、20页样品数量不对</t>
  </si>
  <si>
    <t>T2019461</t>
  </si>
  <si>
    <t>红浅稠油油田生产污水达标项目</t>
  </si>
  <si>
    <t>2019.9.12</t>
  </si>
  <si>
    <t>报告如果是送样，则不需要填写被测地址</t>
  </si>
  <si>
    <t>第一页报告编号错误</t>
  </si>
  <si>
    <t>报告中缺签发日期</t>
  </si>
  <si>
    <t>崔亚平、马志军</t>
  </si>
  <si>
    <t>缺委托协议，样品流转无发放人签字</t>
  </si>
  <si>
    <t>T2019436</t>
  </si>
  <si>
    <t>新疆华生化工涂料有限公司</t>
  </si>
  <si>
    <t>采样记录采样因子与方案不一致</t>
  </si>
  <si>
    <t>T2019453</t>
  </si>
  <si>
    <t>爽湃净水厂</t>
  </si>
  <si>
    <t>2019.9.17</t>
  </si>
  <si>
    <t>报告石油类标准号错误</t>
  </si>
  <si>
    <t>样品流转单无发放人签字，流转记录不全缺T2019453-002的流转</t>
  </si>
  <si>
    <t>T219463</t>
  </si>
  <si>
    <t>6号站含油率检测</t>
  </si>
  <si>
    <t>含油率分析记录无校核人签字</t>
  </si>
  <si>
    <t>样品流转单、分析单样品数量和采样记录不对应</t>
  </si>
  <si>
    <t>T2019420</t>
  </si>
  <si>
    <t>八区二叠系风城组油藏</t>
  </si>
  <si>
    <t>吴宇、张稳刚</t>
  </si>
  <si>
    <t>土壤采样记录点位描述不明确</t>
  </si>
  <si>
    <t>质控报告非甲烷总烃国标号错误</t>
  </si>
  <si>
    <t>噪声原始记录日期填写错误</t>
  </si>
  <si>
    <t>T2019466</t>
  </si>
  <si>
    <t>达11</t>
  </si>
  <si>
    <t>报告检测人员填写错误</t>
  </si>
  <si>
    <t>T2019439</t>
  </si>
  <si>
    <t>杨心挺医院废水</t>
  </si>
  <si>
    <t>2019.9.18</t>
  </si>
  <si>
    <t>张永亮、崔亚平</t>
  </si>
  <si>
    <t>游离氯和总氯标准曲线、相当标准单位用错</t>
  </si>
  <si>
    <t>T2019422</t>
  </si>
  <si>
    <t>克80井区</t>
  </si>
  <si>
    <t>报告中噪声检测标准错误</t>
  </si>
  <si>
    <t>报告中无组织废气检测日期填写错误</t>
  </si>
  <si>
    <t>报告中土壤报告单为单位</t>
  </si>
  <si>
    <t>T2019419</t>
  </si>
  <si>
    <t>采油一厂2018年采油井更新补钻项目</t>
  </si>
  <si>
    <t>报告编号错误</t>
  </si>
  <si>
    <t>报告被侧地址错误</t>
  </si>
  <si>
    <t>报告无组织废气日期填写错误</t>
  </si>
  <si>
    <t>报告无组织废气5094A坐标错误</t>
  </si>
  <si>
    <t>土壤采样记录杠改不签字</t>
  </si>
  <si>
    <t>报告噪声点位坐标4#错误</t>
  </si>
  <si>
    <t>T2019474</t>
  </si>
  <si>
    <t>绿城废水监测</t>
  </si>
  <si>
    <t>2019.9.24</t>
  </si>
  <si>
    <t>报告悬浮物天平编号填写错误</t>
  </si>
  <si>
    <t>报告COD分析人员填写错误</t>
  </si>
  <si>
    <t>T2019441</t>
  </si>
  <si>
    <t>2019.9.26</t>
  </si>
  <si>
    <t>报告T2019441-002COD检测结果抄错</t>
  </si>
  <si>
    <t>张永亮、鲁的娟</t>
  </si>
  <si>
    <t>阴离子表面活性剂结果计算错误</t>
  </si>
  <si>
    <t>蔡栋、唐学文</t>
  </si>
  <si>
    <t>环境 空气采样记录点位描述不清晰</t>
  </si>
  <si>
    <t>报告环境空气点位描述错误</t>
  </si>
  <si>
    <t>T2019454</t>
  </si>
  <si>
    <t>锅炉在线监测比对</t>
  </si>
  <si>
    <t>2019.9.28</t>
  </si>
  <si>
    <t>比对记录样品编号填写不完整</t>
  </si>
  <si>
    <t>报告缺少签发时间</t>
  </si>
  <si>
    <t>采样记录第6页日期错误</t>
  </si>
  <si>
    <t>废气比对原始记录将湿度比对值加上</t>
  </si>
  <si>
    <t>T2019464</t>
  </si>
  <si>
    <t xml:space="preserve"> 	红浅稠油油田生产污水达标项目 </t>
  </si>
  <si>
    <t>样品流转单</t>
  </si>
  <si>
    <t>报告项目名称和任务单不一致</t>
  </si>
  <si>
    <t>报告石油类检出限错误</t>
  </si>
  <si>
    <t>报告T2019464-007氨氮检测结果填写错误</t>
  </si>
  <si>
    <t>鲁的娟、李泽昊</t>
  </si>
  <si>
    <t>石油类T2019464-004样品过期</t>
  </si>
  <si>
    <t>T2019460</t>
  </si>
  <si>
    <t>博达环境现状</t>
  </si>
  <si>
    <t>报告委托单位地址字号错误</t>
  </si>
  <si>
    <t>报告PH、含水率、含油率分析方法填写错误</t>
  </si>
  <si>
    <t>报告T2019460-004COD结果填错</t>
  </si>
  <si>
    <t>T2019480</t>
  </si>
  <si>
    <t>含油率缺校核</t>
  </si>
  <si>
    <t>T2019514</t>
  </si>
  <si>
    <t>重油公司污泥含油率检测</t>
  </si>
  <si>
    <t>2019.10.11</t>
  </si>
  <si>
    <t>报告内容编号、字号错误</t>
  </si>
  <si>
    <t>土壤含水率检测方法错误、天平编号错误</t>
  </si>
  <si>
    <t>采样记录无采样依据</t>
  </si>
  <si>
    <t>T2019506</t>
  </si>
  <si>
    <t>耶路高特环境监测项目</t>
  </si>
  <si>
    <t>水质采样记录缺少坐标信息</t>
  </si>
  <si>
    <t>水质样品编号不正确</t>
  </si>
  <si>
    <t>T2019531</t>
  </si>
  <si>
    <t>乌尔禾环境空气质量</t>
  </si>
  <si>
    <t>2019.10.17</t>
  </si>
  <si>
    <t>T2019540</t>
  </si>
  <si>
    <t>2019.10.29</t>
  </si>
  <si>
    <t>2#点第一天氮氧化物折算计算错误</t>
  </si>
  <si>
    <t>T2019572</t>
  </si>
  <si>
    <t>饮食业油烟</t>
  </si>
  <si>
    <t>2019.11.7</t>
  </si>
  <si>
    <t>T2019572-02报告编号、页码错误</t>
  </si>
  <si>
    <t>T2019615</t>
  </si>
  <si>
    <t>金鑫非甲烷总烃</t>
  </si>
  <si>
    <t>2019.11.13</t>
  </si>
  <si>
    <t>崔亚平、唐学文</t>
  </si>
  <si>
    <t>非甲烷总烃原始记录T2019615-005未计算平均值</t>
  </si>
  <si>
    <t>检测报告中T2019615-013-016结果录入错误</t>
  </si>
  <si>
    <t>检测报告中第3页送样日期错误</t>
  </si>
  <si>
    <t>T2019596</t>
  </si>
  <si>
    <t>重油公司危险废物暂存点</t>
  </si>
  <si>
    <t>2019.11.19</t>
  </si>
  <si>
    <t>吴若愚、张永亮</t>
  </si>
  <si>
    <t>含水率干燥条件和样品类型描述错误</t>
  </si>
  <si>
    <t>原始记录矿物油005编号错误</t>
  </si>
  <si>
    <t>报告中噪声仪编号错误</t>
  </si>
  <si>
    <t>T2019596-106非甲烷总烃数据抄错</t>
  </si>
  <si>
    <t>T2019599</t>
  </si>
  <si>
    <t>博达</t>
  </si>
  <si>
    <t>2019.11.21</t>
  </si>
  <si>
    <t>R2019599-06报告中地点坐标抄错</t>
  </si>
  <si>
    <t>R2019599-06报告中六价铬检测结果抄错</t>
  </si>
  <si>
    <t>T2019631</t>
  </si>
  <si>
    <t>报告中化学需氧量检测方法年代号错误</t>
  </si>
  <si>
    <t>报告中分析日期填写错误</t>
  </si>
  <si>
    <t>T2019621</t>
  </si>
  <si>
    <t>托里金矿</t>
  </si>
  <si>
    <t>2019.11.22</t>
  </si>
  <si>
    <t>报告中氟化物单位错误</t>
  </si>
  <si>
    <t>T2019621-01报告中样品编号错误</t>
  </si>
  <si>
    <t>T2019621-01报告中分析日期编号错误</t>
  </si>
  <si>
    <t>T2019638</t>
  </si>
  <si>
    <t>九公里加油站</t>
  </si>
  <si>
    <t>2019.11.27</t>
  </si>
  <si>
    <t>原始记录缺少校核人签字</t>
  </si>
  <si>
    <t>T2019637</t>
  </si>
  <si>
    <t>绿水源來样监测</t>
  </si>
  <si>
    <t>2019.11.29</t>
  </si>
  <si>
    <t>报告中含水率方法抄错</t>
  </si>
  <si>
    <t>检测报告含油率T2019637-002检测结果录入错误</t>
  </si>
  <si>
    <t>T2019605</t>
  </si>
  <si>
    <t>中心医院锅炉房</t>
  </si>
  <si>
    <t>2019.11.30</t>
  </si>
  <si>
    <t>1#炉氮氧化物第二次排放速率计算错误</t>
  </si>
  <si>
    <t>3#炉氮氧化物第三次折算浓度计算错误</t>
  </si>
  <si>
    <t>T2019644</t>
  </si>
  <si>
    <t>华隆锅炉房</t>
  </si>
  <si>
    <t>2019.12.2</t>
  </si>
  <si>
    <t>杜豪</t>
  </si>
  <si>
    <t>报告第三次烟温数据录入错误</t>
  </si>
  <si>
    <t>杜豪、唐学文</t>
  </si>
  <si>
    <t>记录第三次氮氧化物速率计算错误</t>
  </si>
  <si>
    <t>T2019635</t>
  </si>
  <si>
    <t>亚行噪声</t>
  </si>
  <si>
    <t>2019.12.4</t>
  </si>
  <si>
    <t>原始记录检测日期错误</t>
  </si>
  <si>
    <t>检测报告样品数量描述错误</t>
  </si>
  <si>
    <t>T2019650</t>
  </si>
  <si>
    <t>融汇锅炉废气监测</t>
  </si>
  <si>
    <t>2019.12.11</t>
  </si>
  <si>
    <t>颗粒物检测方法写错</t>
  </si>
  <si>
    <t>报告中T2019650-003流量填写错误</t>
  </si>
  <si>
    <t>分析记录缺少校核人签字和页码标识</t>
  </si>
  <si>
    <t>黑度原始记录缺少分析人员签字</t>
  </si>
  <si>
    <t>采样记录缺少接样人签字、接样日期</t>
  </si>
  <si>
    <t>报告污染源设备型号填写错误</t>
  </si>
  <si>
    <t>T2019671</t>
  </si>
  <si>
    <t>水质高锰酸盐指数的测定</t>
  </si>
  <si>
    <t>2019.12.12</t>
  </si>
  <si>
    <t>报告中第一页委托单位字号不对</t>
  </si>
  <si>
    <t>报告第二页检测单位错误</t>
  </si>
  <si>
    <t>T2019652</t>
  </si>
  <si>
    <t>石南</t>
  </si>
  <si>
    <t>报告第一页噪声仪编号错误</t>
  </si>
  <si>
    <t>T2019659</t>
  </si>
  <si>
    <t>重油公司危险废物临时贮存点</t>
  </si>
  <si>
    <t>2019.12.13</t>
  </si>
  <si>
    <t>报告总悬浮颗粒物国标号错误</t>
  </si>
  <si>
    <t>报告无组织废气2号点坐标错误</t>
  </si>
  <si>
    <t>矿物油流转单未签字</t>
  </si>
  <si>
    <t>采样记录接样人未签字</t>
  </si>
  <si>
    <t>T2019646</t>
  </si>
  <si>
    <t>石南联合站采出水处理系统</t>
  </si>
  <si>
    <t>采样记录未签字</t>
  </si>
  <si>
    <t>T2019634</t>
  </si>
  <si>
    <t>2018年集输站排污系统维修工程</t>
  </si>
  <si>
    <t>2019.12.16</t>
  </si>
  <si>
    <t>氮氧化物和二氧化硫分析记录检出限错误，应选择10ml吸收液的检出限</t>
  </si>
  <si>
    <t>二氧化硫和氮氧化物采样流量错误，二氧化硫为0.5L/min，氮氧化物为0.4L/min</t>
  </si>
  <si>
    <t>分析记录需要重新填写</t>
  </si>
  <si>
    <t>无组织废气采样记录单缺少样品编号和点位的关系描述</t>
  </si>
  <si>
    <t>土壤采样单缺少接样人签字X2</t>
  </si>
  <si>
    <t>非甲烷总烃分析记录页码错误</t>
  </si>
  <si>
    <t>T2019676</t>
  </si>
  <si>
    <t>诺特飞博燃烧设备监测</t>
  </si>
  <si>
    <t>报告二氧化硫国标号错误</t>
  </si>
  <si>
    <t>报告样品状态描述错误</t>
  </si>
  <si>
    <t>T2019667</t>
  </si>
  <si>
    <t>黑油山公司室内空气检测项目</t>
  </si>
  <si>
    <t>采样记录缺少接样人签字</t>
  </si>
  <si>
    <t>T2019669</t>
  </si>
  <si>
    <t>新科澳一分部厂区内燃气锅炉</t>
  </si>
  <si>
    <t>2019.12.17</t>
  </si>
  <si>
    <t>报告中颗粒物监测检测方法名称错误“汚染”</t>
  </si>
  <si>
    <t>原始记录分析人、校核人未签字</t>
  </si>
  <si>
    <t>T2019677</t>
  </si>
  <si>
    <t>新疆新捷燃气乌尔禾母站锅炉监测</t>
  </si>
  <si>
    <t>报告中缺少含氧量分析方法</t>
  </si>
  <si>
    <t>报告中分析仪器编号错误</t>
  </si>
  <si>
    <t>报告中样品状态错误，没有采颗粒物哪来的采样嘴？</t>
  </si>
  <si>
    <t>T2019673</t>
  </si>
  <si>
    <t>托里县汞及其化合物监测</t>
  </si>
  <si>
    <t>2019.12.19</t>
  </si>
  <si>
    <t>采样记录写的很全，但是还缺少烟气含湿量的监测数据</t>
  </si>
  <si>
    <t>T2019663</t>
  </si>
  <si>
    <t xml:space="preserve">石南31井区清水河组油藏
2017年开发建设工程
</t>
  </si>
  <si>
    <t>2019.12.25</t>
  </si>
  <si>
    <t>采样记录缺少编号对应的点位描述</t>
  </si>
  <si>
    <t>报告中权少含水率的仪器设备</t>
  </si>
  <si>
    <t>报告中T2019663-201-203镉的检测结果填写错误</t>
  </si>
  <si>
    <t>T2019664</t>
  </si>
  <si>
    <t>石南4井区头屯河组油藏</t>
  </si>
  <si>
    <t>2019.12.26</t>
  </si>
  <si>
    <t>报告中样品类别缺少废水；检测项目多了一个硫化氢和含油率</t>
  </si>
  <si>
    <t>报告中非甲烷总烃样品状态描述错误</t>
  </si>
  <si>
    <t>废气、噪声采样记录中监测点位图画错</t>
  </si>
  <si>
    <t>噪声记录点位名称与方案不一致</t>
  </si>
  <si>
    <t>T2019697</t>
  </si>
  <si>
    <t>绿水源环保有限公司来样检测</t>
  </si>
  <si>
    <t>2019.12.30</t>
  </si>
  <si>
    <t>报告T2019697-002含水率录入错误</t>
  </si>
  <si>
    <t>含油率原始记录T2019697-002含水率引用错误</t>
  </si>
  <si>
    <t>T2019686</t>
  </si>
  <si>
    <t xml:space="preserve">新疆鸿升现代农牧业科技发展有限公司送样检测 </t>
  </si>
  <si>
    <t>样品流转单中样品状态和送样信息不符</t>
  </si>
  <si>
    <t>报告中样品状态和送样信息不符</t>
  </si>
  <si>
    <t>报告中检测日期错误</t>
  </si>
  <si>
    <t>T2019694-002</t>
  </si>
  <si>
    <t>中国石油新疆油田分公司红山嘴油田89井区
二叠系乌尔禾组石碳系油藏评价井项目（第二批）</t>
  </si>
  <si>
    <t>2020.1.7</t>
  </si>
  <si>
    <t>报告单页的编号填写错误、报告编号字体错误</t>
  </si>
  <si>
    <t>报告中采样日期错误</t>
  </si>
  <si>
    <t>报告非甲烷总烃样品编号错误</t>
  </si>
  <si>
    <t>报告所有非甲烷总烃结果录入错误</t>
  </si>
  <si>
    <t>报告土壤样品状态描述错误</t>
  </si>
  <si>
    <t>点位示意图错误</t>
  </si>
  <si>
    <t>报告噪声仪器设备和声校准器填写错误</t>
  </si>
  <si>
    <t>报告矿物油质控记录填写错误</t>
  </si>
  <si>
    <t>张稳刚、崔亚平</t>
  </si>
  <si>
    <t>分析记录中非甲烷原始记录采样日期未填写</t>
  </si>
  <si>
    <t>T2019694-001</t>
  </si>
  <si>
    <t>夏子街油田夏67井区块三叠系百口泉组油藏评价井项目</t>
  </si>
  <si>
    <t>报告土壤点位坐标抄错</t>
  </si>
  <si>
    <t>报告土壤采样人员填写错误</t>
  </si>
  <si>
    <t>报告中噪声检测结果缺少一个点位的所有结果</t>
  </si>
  <si>
    <t>T2019694-003</t>
  </si>
  <si>
    <t xml:space="preserve"> 中国石油新疆油田分公司百口泉油田稀油油藏 </t>
  </si>
  <si>
    <t>报告土壤采样日期填写错误</t>
  </si>
  <si>
    <t>分析记录中非甲烷检测结果低于检出限的未用ND表示</t>
  </si>
  <si>
    <t>T2020032</t>
  </si>
  <si>
    <t>日濠水都锅炉废气检测项目</t>
  </si>
  <si>
    <t>2020.1.13</t>
  </si>
  <si>
    <t>报告中含氧量抄错</t>
  </si>
  <si>
    <t>T20200001</t>
  </si>
  <si>
    <t>排水处污水检测</t>
  </si>
  <si>
    <t>2020.1.20</t>
  </si>
  <si>
    <t>氰化物方法录入错误</t>
  </si>
  <si>
    <t>九公里采样单日期杠改未签字</t>
  </si>
  <si>
    <t>九公里采样单接样日期杠改未签字</t>
  </si>
  <si>
    <t>BOD5样品流转单未签字</t>
  </si>
  <si>
    <t>色度方法选择错误</t>
  </si>
  <si>
    <t>阴离子表面活性剂校核人未签字</t>
  </si>
  <si>
    <t>报告九公里处理厂污泥样品状态写错</t>
  </si>
  <si>
    <t>T2020033</t>
  </si>
  <si>
    <t>百口泉供热锅炉验收监测</t>
  </si>
  <si>
    <t>流转记录样品数量错误</t>
  </si>
  <si>
    <t>报告颗粒物采样仪器错误</t>
  </si>
  <si>
    <t>报告2#炉第二天氮氧化物第三次值录入错误</t>
  </si>
  <si>
    <t>报告噪声Z3第二天修约错误</t>
  </si>
  <si>
    <t>T2020028-01</t>
  </si>
  <si>
    <t>飞机场锅炉检测（1月）</t>
  </si>
  <si>
    <t>2020.1.21</t>
  </si>
  <si>
    <t>报告缺少烟气黑度检测结果，</t>
  </si>
  <si>
    <t>T2020030-01</t>
  </si>
  <si>
    <t>西北锅炉房验收</t>
  </si>
  <si>
    <t>报告中含氧量方法使用仪器录入错误</t>
  </si>
  <si>
    <t>T2020030-02</t>
  </si>
  <si>
    <t>2020.3.13</t>
  </si>
  <si>
    <t>报告第三页第8次CEMS值录入错误</t>
  </si>
  <si>
    <t>报告第三页第1次手工值录入错误</t>
  </si>
  <si>
    <t>原始记录中1#炉氮氧化物相对误差计算错误</t>
  </si>
  <si>
    <t>报告第8页第2次CEMS结果录入错误</t>
  </si>
  <si>
    <t>二号炉原书记录中氮氧化物低浓度示值误差计算错误</t>
  </si>
  <si>
    <t>二号炉原始记录零点漂移计算错误</t>
  </si>
  <si>
    <t>3号炉原始记录中二氧化硫的零点漂移计算错误</t>
  </si>
  <si>
    <t>报告中3#炉氮氧化物手工平均值计算错误</t>
  </si>
  <si>
    <t>T2020025-003</t>
  </si>
  <si>
    <t>风云保健站</t>
  </si>
  <si>
    <t>2020.3.18</t>
  </si>
  <si>
    <t>报告中天平的仪器编号填写错误</t>
  </si>
  <si>
    <t>T2020028-003</t>
  </si>
  <si>
    <t>机场废气检测</t>
  </si>
  <si>
    <t>2020.3.24</t>
  </si>
  <si>
    <t>报告中设备编号填写错误</t>
  </si>
  <si>
    <t>报告中样品状态填写错误</t>
  </si>
  <si>
    <t>报告中采样、检测日期填写错误</t>
  </si>
  <si>
    <t>T2020044-003</t>
  </si>
  <si>
    <t>华隆锅炉监测</t>
  </si>
  <si>
    <t>2020.3.25</t>
  </si>
  <si>
    <t>原始记录氮氧化物折算计算错误</t>
  </si>
  <si>
    <t>T2020077</t>
  </si>
  <si>
    <t>重油公司水质在线比对</t>
  </si>
  <si>
    <t>2020.4.9</t>
  </si>
  <si>
    <t>T2020077-002的氨氮在线值录入错误</t>
  </si>
  <si>
    <t>T2020097</t>
  </si>
  <si>
    <t>2020年4月份监测计划分析</t>
  </si>
  <si>
    <t>2020.4.17</t>
  </si>
  <si>
    <t>报告第一页五日生化需氧量检测设备错误</t>
  </si>
  <si>
    <t>报告中镉的检出限录入错误</t>
  </si>
  <si>
    <t>报告中铅的检出限录入错误</t>
  </si>
  <si>
    <t>报告中氟化物的结果录入错误</t>
  </si>
  <si>
    <t>T2020111</t>
  </si>
  <si>
    <t>胜利油田锅炉废气废气检测</t>
  </si>
  <si>
    <t>2020.5.7</t>
  </si>
  <si>
    <t>二氧化硫国标录入错误</t>
  </si>
  <si>
    <t>无签发日期</t>
  </si>
  <si>
    <t>有两处平均值计算错误</t>
  </si>
  <si>
    <t>管理系统一审发现无现场照片</t>
  </si>
  <si>
    <t>T2020105-001</t>
  </si>
  <si>
    <t>禹城热力</t>
  </si>
  <si>
    <t>2020.5.12</t>
  </si>
  <si>
    <t>SO2折算值报出结果有误</t>
  </si>
  <si>
    <t>汞折算报出结果有误</t>
  </si>
  <si>
    <t>有组织氨与汞排放速率数据结果来源与计算无出处！</t>
  </si>
  <si>
    <t>T2020105-002</t>
  </si>
  <si>
    <t>结果录入错误</t>
  </si>
  <si>
    <t>数据计算错误1处</t>
  </si>
  <si>
    <t>T2020101</t>
  </si>
  <si>
    <t>重32井区齐古组油藏</t>
  </si>
  <si>
    <t>2020.5.15</t>
  </si>
  <si>
    <t>采样记录缺少样品编号和点位的对应关系</t>
  </si>
  <si>
    <t>硫化氢分析记录缺少人员校核</t>
  </si>
  <si>
    <t>非甲烷总烃原始记录杠改不签字</t>
  </si>
  <si>
    <t>噪声原始记录噪声点位坐标错误</t>
  </si>
  <si>
    <t>土壤PH的方法不完整（已改）</t>
  </si>
  <si>
    <t>六价铬是分包项目，在样品流转单出现</t>
  </si>
  <si>
    <t>T2020124</t>
  </si>
  <si>
    <t>独山子医院</t>
  </si>
  <si>
    <t>2020.5.27</t>
  </si>
  <si>
    <t>吴志伟</t>
  </si>
  <si>
    <t>陶盼捷</t>
  </si>
  <si>
    <t>唐学文、张稳刚</t>
  </si>
  <si>
    <t>阴离子表面活性剂用“P"材质的容器采样，不符合国标及技术规范要求</t>
  </si>
  <si>
    <t>T2020013-11</t>
  </si>
  <si>
    <t>人民医院</t>
  </si>
  <si>
    <t>2020.5.25</t>
  </si>
  <si>
    <t>粪大肠菌群超标、已反馈市场部</t>
  </si>
  <si>
    <t>T2020021-02</t>
  </si>
  <si>
    <t>友好医院</t>
  </si>
  <si>
    <t>ph、粪大肠菌群、悬浮物方法编号错误（已改）</t>
  </si>
  <si>
    <t>T2020096-02</t>
  </si>
  <si>
    <t>昆仑路卫生服务中心</t>
  </si>
  <si>
    <t>粪大肠菌群方法错误（已改）</t>
  </si>
  <si>
    <t>T2020016-04</t>
  </si>
  <si>
    <t>中心血站</t>
  </si>
  <si>
    <t>粪大肠样品编号不完整</t>
  </si>
  <si>
    <t>报告中样品编号错误（已改）</t>
  </si>
  <si>
    <t>T2020019-02</t>
  </si>
  <si>
    <t>汉唐康复医院</t>
  </si>
  <si>
    <t>粪大肠方法错误、超标、已反馈市场部</t>
  </si>
  <si>
    <t>T2020021-03</t>
  </si>
  <si>
    <t>ph、悬浮物检测人员录入错误（已改）</t>
  </si>
  <si>
    <t>ph、悬浮物、粪大肠菌群的标准方法编号错误（已改）</t>
  </si>
  <si>
    <t>粪大肠超标、已反馈市场部</t>
  </si>
  <si>
    <t>T2020025-04</t>
  </si>
  <si>
    <t>T2020025-03</t>
  </si>
  <si>
    <t>粪大肠方法错误、超标，已反馈市场部</t>
  </si>
  <si>
    <t>T2020015-21</t>
  </si>
  <si>
    <t>中心医院</t>
  </si>
  <si>
    <t>周期性全项不采粪大肠菌群无标注已反市场部</t>
  </si>
  <si>
    <t>第一次</t>
  </si>
  <si>
    <t>第二次</t>
  </si>
  <si>
    <t>第三次</t>
  </si>
  <si>
    <t>平均值</t>
  </si>
  <si>
    <t>基准含氧量</t>
  </si>
  <si>
    <t>排气含氧量（%）</t>
  </si>
  <si>
    <t>排气温度(℃)</t>
  </si>
  <si>
    <t>排气含湿量（%）</t>
  </si>
  <si>
    <r>
      <rPr>
        <sz val="12"/>
        <color theme="1"/>
        <rFont val="宋体"/>
        <family val="3"/>
        <charset val="134"/>
      </rPr>
      <t>排气标干流量(m</t>
    </r>
    <r>
      <rPr>
        <vertAlign val="superscript"/>
        <sz val="12"/>
        <color theme="1"/>
        <rFont val="宋体"/>
        <family val="3"/>
        <charset val="134"/>
      </rPr>
      <t>3</t>
    </r>
    <r>
      <rPr>
        <sz val="12"/>
        <color theme="1"/>
        <rFont val="宋体"/>
        <family val="3"/>
        <charset val="134"/>
      </rPr>
      <t>/h)</t>
    </r>
  </si>
  <si>
    <t>颗粒物标干采样体积(L)</t>
  </si>
  <si>
    <r>
      <rPr>
        <sz val="12"/>
        <color theme="1"/>
        <rFont val="宋体"/>
        <family val="3"/>
        <charset val="134"/>
      </rPr>
      <t>排气中一氧化碳排放浓度（mg/m</t>
    </r>
    <r>
      <rPr>
        <vertAlign val="superscript"/>
        <sz val="12"/>
        <color theme="1"/>
        <rFont val="宋体"/>
        <family val="3"/>
        <charset val="134"/>
      </rPr>
      <t>3</t>
    </r>
    <r>
      <rPr>
        <sz val="12"/>
        <color theme="1"/>
        <rFont val="宋体"/>
        <family val="3"/>
        <charset val="134"/>
      </rPr>
      <t>）</t>
    </r>
  </si>
  <si>
    <t>实测值</t>
  </si>
  <si>
    <t>折算值</t>
  </si>
  <si>
    <t>一氧化碳排放速率(kg/h)</t>
  </si>
  <si>
    <t>颗粒物排放浓度（mg/m3）</t>
  </si>
  <si>
    <t>颗粒物排放速率（kg/h）</t>
  </si>
  <si>
    <r>
      <rPr>
        <sz val="12"/>
        <color theme="1"/>
        <rFont val="宋体"/>
        <family val="3"/>
        <charset val="134"/>
      </rPr>
      <t>二氧化硫排放浓度（mg/m</t>
    </r>
    <r>
      <rPr>
        <vertAlign val="superscript"/>
        <sz val="12"/>
        <color theme="1"/>
        <rFont val="宋体"/>
        <family val="3"/>
        <charset val="134"/>
      </rPr>
      <t>3</t>
    </r>
    <r>
      <rPr>
        <sz val="12"/>
        <color theme="1"/>
        <rFont val="宋体"/>
        <family val="3"/>
        <charset val="134"/>
      </rPr>
      <t>）</t>
    </r>
  </si>
  <si>
    <t>二氧化硫排放速率(kg/h)</t>
  </si>
  <si>
    <r>
      <rPr>
        <sz val="12"/>
        <color theme="1"/>
        <rFont val="宋体"/>
        <family val="3"/>
        <charset val="134"/>
      </rPr>
      <t>氮氧化物排放浓度（mg/m</t>
    </r>
    <r>
      <rPr>
        <vertAlign val="superscript"/>
        <sz val="12"/>
        <color theme="1"/>
        <rFont val="宋体"/>
        <family val="3"/>
        <charset val="134"/>
      </rPr>
      <t>3</t>
    </r>
    <r>
      <rPr>
        <sz val="12"/>
        <color theme="1"/>
        <rFont val="宋体"/>
        <family val="3"/>
        <charset val="134"/>
      </rPr>
      <t>）</t>
    </r>
  </si>
  <si>
    <t>氮氧化物排放速率（kg/h）</t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</si>
  <si>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时间</t>
    </r>
  </si>
  <si>
    <t>参比方法</t>
  </si>
  <si>
    <t>CEMS法</t>
  </si>
  <si>
    <t>序号</t>
  </si>
  <si>
    <t>颗粒物浓度</t>
  </si>
  <si>
    <t>流速</t>
  </si>
  <si>
    <t>烟温</t>
  </si>
  <si>
    <t>湿度</t>
  </si>
  <si>
    <r>
      <rPr>
        <sz val="12"/>
        <color theme="1"/>
        <rFont val="宋体"/>
        <family val="3"/>
        <charset val="134"/>
      </rPr>
      <t>mg/m</t>
    </r>
    <r>
      <rPr>
        <vertAlign val="superscript"/>
        <sz val="12"/>
        <color theme="1"/>
        <rFont val="宋体"/>
        <family val="3"/>
        <charset val="134"/>
      </rPr>
      <t>3</t>
    </r>
  </si>
  <si>
    <t>m/s</t>
  </si>
  <si>
    <t>℃</t>
  </si>
  <si>
    <t>%</t>
  </si>
  <si>
    <t>16:41-17:05</t>
  </si>
  <si>
    <t>17:10-17:34</t>
  </si>
  <si>
    <t>17:38-18:02</t>
  </si>
  <si>
    <t>18:09-18:33</t>
  </si>
  <si>
    <t>18:39-19:03</t>
  </si>
  <si>
    <r>
      <rPr>
        <sz val="12"/>
        <color theme="1"/>
        <rFont val="宋体"/>
        <family val="3"/>
        <charset val="134"/>
      </rPr>
      <t>颗粒物浓度平均值（mg/m</t>
    </r>
    <r>
      <rPr>
        <vertAlign val="superscript"/>
        <sz val="12"/>
        <color theme="1"/>
        <rFont val="宋体"/>
        <family val="3"/>
        <charset val="134"/>
      </rPr>
      <t>3</t>
    </r>
    <r>
      <rPr>
        <sz val="12"/>
        <color theme="1"/>
        <rFont val="宋体"/>
        <family val="3"/>
        <charset val="134"/>
      </rPr>
      <t>）</t>
    </r>
  </si>
  <si>
    <t>流速平均值(m/s)</t>
  </si>
  <si>
    <t>温度平均值（℃）</t>
  </si>
  <si>
    <t>湿度平均值（%）</t>
  </si>
  <si>
    <t>颗粒物</t>
  </si>
  <si>
    <t>相对误差</t>
  </si>
  <si>
    <t>（＞200mg/m3）±15%</t>
  </si>
  <si>
    <t>（100--200）±20%</t>
  </si>
  <si>
    <t>（50-100）±25%</t>
  </si>
  <si>
    <t>（20-50）±30%</t>
  </si>
  <si>
    <t>绝对误差</t>
  </si>
  <si>
    <t>（10-20）±6mg/m3</t>
  </si>
  <si>
    <t>（≤10）±5mg/m3</t>
  </si>
  <si>
    <t>流速（%）</t>
  </si>
  <si>
    <t xml:space="preserve"> (≤10m/s)12%</t>
  </si>
  <si>
    <t xml:space="preserve"> (＞10m/s)10%</t>
  </si>
  <si>
    <t>温度绝对误差（℃）±3℃</t>
  </si>
  <si>
    <t xml:space="preserve"> (≤5.0%)±1.5%</t>
  </si>
  <si>
    <t xml:space="preserve"> (＞5.0%)±25%</t>
  </si>
  <si>
    <t>氮氧化物</t>
  </si>
  <si>
    <t>时间</t>
  </si>
  <si>
    <t>参比方法（RM）A</t>
  </si>
  <si>
    <t>CEMS法 B</t>
  </si>
  <si>
    <t>数据对差=B-A</t>
  </si>
  <si>
    <t>置信系数</t>
  </si>
  <si>
    <t>（时、分）</t>
  </si>
  <si>
    <t>17:32-17:37</t>
  </si>
  <si>
    <t>17:41-17:46</t>
  </si>
  <si>
    <t>17:47-17:52</t>
  </si>
  <si>
    <t>17:52-17:57</t>
  </si>
  <si>
    <t>17:57-18:02</t>
  </si>
  <si>
    <t>18:02-18:07</t>
  </si>
  <si>
    <t>18:07-18:12</t>
  </si>
  <si>
    <t>18:12-18:17</t>
  </si>
  <si>
    <t>18:18-18:23</t>
  </si>
  <si>
    <t>数据对差的平均值的绝对值</t>
  </si>
  <si>
    <t>数据对差的标准偏差</t>
  </si>
  <si>
    <t>相对误差（41-103）</t>
  </si>
  <si>
    <t>绝对误差（103-513）、（0-41）</t>
  </si>
  <si>
    <t>CC</t>
  </si>
  <si>
    <t>相对准确度（＞513）</t>
  </si>
  <si>
    <t>标准气体</t>
  </si>
  <si>
    <t>名   称</t>
  </si>
  <si>
    <t>保证值</t>
  </si>
  <si>
    <t>参比方法测定结果</t>
  </si>
  <si>
    <t>相对误差（%）</t>
  </si>
  <si>
    <t>采样前</t>
  </si>
  <si>
    <t>采样后</t>
  </si>
  <si>
    <t>一氧化氮标气</t>
  </si>
  <si>
    <t>/</t>
  </si>
  <si>
    <t>二氧化硫</t>
  </si>
  <si>
    <t>绝对误差（＜57）、（143-715）</t>
  </si>
  <si>
    <t>相对误差（57-143）</t>
  </si>
  <si>
    <t>相对准确度（＞715）</t>
  </si>
  <si>
    <t>二氧化硫标气</t>
  </si>
  <si>
    <t>含氧量</t>
  </si>
  <si>
    <t>绝对误差（≤5%）±1.0%</t>
  </si>
  <si>
    <t>相对准确度（＞5%）≤15%</t>
  </si>
  <si>
    <t>氧气标气</t>
  </si>
  <si>
    <t xml:space="preserve"> 项目名称 </t>
  </si>
  <si>
    <t xml:space="preserve"> 标准气体浓度（mg/m3） </t>
  </si>
  <si>
    <t xml:space="preserve"> CEMS检测结果 </t>
  </si>
  <si>
    <t xml:space="preserve"> 计算误差 </t>
  </si>
  <si>
    <t xml:space="preserve"> 执行标准 </t>
  </si>
  <si>
    <t xml:space="preserve"> 是否合格 </t>
  </si>
  <si>
    <t>氮氧化物的满量程</t>
  </si>
  <si>
    <t xml:space="preserve"> 示值误差 </t>
  </si>
  <si>
    <t xml:space="preserve"> ±2.5% </t>
  </si>
  <si>
    <t xml:space="preserve"> 合格 </t>
  </si>
  <si>
    <t>二氧化硫 的满量程</t>
  </si>
  <si>
    <t xml:space="preserve"> 系统响应时间 </t>
  </si>
  <si>
    <t xml:space="preserve"> / </t>
  </si>
  <si>
    <t xml:space="preserve"> ≤200s </t>
  </si>
  <si>
    <r>
      <t xml:space="preserve"> </t>
    </r>
    <r>
      <rPr>
        <sz val="11"/>
        <color rgb="FF191F25"/>
        <rFont val="宋体"/>
        <family val="3"/>
        <charset val="134"/>
      </rPr>
      <t>零点漂移</t>
    </r>
    <r>
      <rPr>
        <sz val="11"/>
        <color rgb="FF191F25"/>
        <rFont val="-apple-system"/>
        <family val="1"/>
      </rPr>
      <t xml:space="preserve"> </t>
    </r>
  </si>
  <si>
    <t xml:space="preserve"> 量程漂移 </t>
  </si>
  <si>
    <t>含氧量的满量程</t>
  </si>
  <si>
    <t xml:space="preserve"> ±5% </t>
  </si>
  <si>
    <t xml:space="preserve"> 零点漂移 </t>
  </si>
  <si>
    <t xml:space="preserve"> 含氧量 </t>
  </si>
  <si>
    <t xml:space="preserve"> 实际水样测定 </t>
  </si>
  <si>
    <t xml:space="preserve"> 样品编号 </t>
  </si>
  <si>
    <t xml:space="preserve"> 采样 时间 </t>
  </si>
  <si>
    <t xml:space="preserve"> 在线仪器 测定值 </t>
  </si>
  <si>
    <t xml:space="preserve"> 实验室 测定值 </t>
  </si>
  <si>
    <t xml:space="preserve"> 绝对 误差 </t>
  </si>
  <si>
    <t xml:space="preserve"> 相对误差（%） </t>
  </si>
  <si>
    <t xml:space="preserve"> 结果 评定 </t>
  </si>
  <si>
    <t xml:space="preserve"> 备注 </t>
  </si>
  <si>
    <t xml:space="preserve"> 质控样品测定 </t>
  </si>
  <si>
    <t xml:space="preserve"> 标样编号 </t>
  </si>
  <si>
    <t xml:space="preserve"> 测试 时间 </t>
  </si>
  <si>
    <t xml:space="preserve"> 标准样品 浓度 </t>
  </si>
  <si>
    <t xml:space="preserve"> 技术说明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</si>
</sst>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6">
    <font>
      <sz val="9"/>
      <color rgb="FF595959"/>
      <name val="Helvetica Neue For Number"/>
      <charset val="134"/>
    </font>
    <font>
      <sz val="11"/>
      <color rgb="FF191F25"/>
      <name val="-apple-system"/>
      <family val="1"/>
    </font>
    <font>
      <sz val="9"/>
      <color rgb="FF595959"/>
      <name val="宋体"/>
      <family val="3"/>
      <charset val="134"/>
    </font>
    <font>
      <sz val="11"/>
      <color rgb="FF191F25"/>
      <name val="宋体"/>
      <family val="3"/>
      <charset val="134"/>
    </font>
    <font>
      <sz val="12"/>
      <color rgb="FF595959"/>
      <name val="宋体"/>
      <family val="3"/>
      <charset val="134"/>
    </font>
    <font>
      <sz val="10.5"/>
      <color rgb="FF59595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Times New Roman"/>
      <family val="1"/>
    </font>
    <font>
      <sz val="11"/>
      <name val="-apple-system"/>
      <family val="1"/>
    </font>
    <font>
      <sz val="11"/>
      <color rgb="FF595959"/>
      <name val="Helvetica Neue For Number"/>
      <charset val="134"/>
    </font>
    <font>
      <sz val="9"/>
      <color rgb="FFC10002"/>
      <name val="Helvetica Neue For Number"/>
      <charset val="134"/>
    </font>
    <font>
      <b/>
      <sz val="11"/>
      <name val="Calibri"/>
      <family val="2"/>
    </font>
    <font>
      <sz val="11"/>
      <name val="Helvetica Neue For Number"/>
      <charset val="134"/>
    </font>
    <font>
      <sz val="11"/>
      <color theme="1"/>
      <name val="宋体"/>
      <family val="3"/>
      <charset val="134"/>
    </font>
    <font>
      <sz val="11"/>
      <color rgb="FF191F25"/>
      <name val="Helvetica Neue For Number"/>
      <charset val="134"/>
    </font>
    <font>
      <sz val="11"/>
      <color rgb="FF000000"/>
      <name val="Helvetica Neue For Number"/>
      <charset val="134"/>
    </font>
    <font>
      <sz val="11"/>
      <color rgb="FFC10002"/>
      <name val="Helvetica Neue For Number"/>
      <charset val="134"/>
    </font>
    <font>
      <sz val="11"/>
      <color rgb="FFC10002"/>
      <name val="宋体"/>
      <family val="3"/>
      <charset val="134"/>
      <scheme val="minor"/>
    </font>
    <font>
      <vertAlign val="superscript"/>
      <sz val="12"/>
      <color theme="1"/>
      <name val="宋体"/>
      <family val="3"/>
      <charset val="134"/>
    </font>
    <font>
      <sz val="12"/>
      <color rgb="FF595959"/>
      <name val="Times New Roman"/>
      <family val="1"/>
    </font>
    <font>
      <sz val="9"/>
      <name val="Helvetica Neue For Number"/>
      <charset val="134"/>
    </font>
    <font>
      <sz val="12"/>
      <color rgb="FF000000"/>
      <name val="Times New Roman"/>
      <family val="1"/>
    </font>
    <font>
      <sz val="7"/>
      <color rgb="FF000000"/>
      <name val="Calibri"/>
      <family val="2"/>
    </font>
    <font>
      <sz val="7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0F0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Down="1">
      <left/>
      <right/>
      <top style="thin">
        <color rgb="FF000000"/>
      </top>
      <bottom/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Down="1">
      <left/>
      <right/>
      <top/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  <protection locked="0"/>
    </xf>
  </cellStyleXfs>
  <cellXfs count="129">
    <xf numFmtId="0" fontId="0" fillId="0" borderId="0" xfId="0">
      <alignment vertical="center"/>
      <protection locked="0"/>
    </xf>
    <xf numFmtId="0" fontId="1" fillId="0" borderId="1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1" fillId="0" borderId="3" xfId="0" applyFont="1" applyBorder="1" applyProtection="1">
      <alignment vertical="center"/>
    </xf>
    <xf numFmtId="0" fontId="1" fillId="0" borderId="4" xfId="0" applyFont="1" applyBorder="1" applyProtection="1">
      <alignment vertical="center"/>
    </xf>
    <xf numFmtId="0" fontId="1" fillId="0" borderId="2" xfId="0" applyFont="1" applyBorder="1" applyAlignment="1" applyProtection="1">
      <alignment vertical="top"/>
    </xf>
    <xf numFmtId="0" fontId="1" fillId="0" borderId="4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4" fillId="0" borderId="5" xfId="0" applyFont="1" applyBorder="1" applyAlignment="1">
      <alignment horizontal="center" vertical="center" wrapText="1"/>
      <protection locked="0"/>
    </xf>
    <xf numFmtId="0" fontId="4" fillId="0" borderId="6" xfId="0" applyFont="1" applyBorder="1" applyAlignment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</xf>
    <xf numFmtId="0" fontId="4" fillId="0" borderId="7" xfId="0" applyFont="1" applyBorder="1" applyAlignment="1">
      <alignment horizontal="center" vertical="center" wrapText="1"/>
      <protection locked="0"/>
    </xf>
    <xf numFmtId="0" fontId="4" fillId="0" borderId="8" xfId="0" applyFont="1" applyBorder="1" applyAlignment="1">
      <alignment horizontal="center" vertical="center" wrapText="1"/>
      <protection locked="0"/>
    </xf>
    <xf numFmtId="0" fontId="5" fillId="0" borderId="7" xfId="0" applyFont="1" applyBorder="1" applyAlignment="1">
      <alignment horizontal="center" vertical="center" wrapText="1"/>
      <protection locked="0"/>
    </xf>
    <xf numFmtId="0" fontId="0" fillId="0" borderId="0" xfId="0" applyAlignment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0" fontId="2" fillId="2" borderId="13" xfId="0" applyFont="1" applyFill="1" applyBorder="1" applyAlignment="1">
      <alignment horizontal="center" vertical="center"/>
      <protection locked="0"/>
    </xf>
    <xf numFmtId="0" fontId="0" fillId="2" borderId="13" xfId="0" applyFill="1" applyBorder="1" applyAlignment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left" vertical="center" wrapText="1"/>
    </xf>
    <xf numFmtId="0" fontId="8" fillId="0" borderId="5" xfId="0" applyFont="1" applyBorder="1" applyAlignment="1">
      <alignment horizontal="center" vertical="center" wrapText="1"/>
      <protection locked="0"/>
    </xf>
    <xf numFmtId="0" fontId="8" fillId="0" borderId="6" xfId="0" applyFont="1" applyBorder="1" applyAlignment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19" xfId="0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/>
    </xf>
    <xf numFmtId="0" fontId="7" fillId="0" borderId="21" xfId="0" applyFont="1" applyBorder="1" applyAlignment="1" applyProtection="1">
      <alignment horizontal="center" vertical="center" wrapText="1"/>
    </xf>
    <xf numFmtId="0" fontId="7" fillId="0" borderId="21" xfId="0" applyFont="1" applyBorder="1" applyAlignment="1" applyProtection="1">
      <alignment vertical="center" wrapText="1"/>
    </xf>
    <xf numFmtId="0" fontId="6" fillId="0" borderId="0" xfId="0" applyFont="1" applyAlignment="1" applyProtection="1">
      <alignment horizontal="center" vertical="center"/>
    </xf>
    <xf numFmtId="0" fontId="7" fillId="2" borderId="21" xfId="0" applyFont="1" applyFill="1" applyBorder="1" applyAlignment="1" applyProtection="1">
      <alignment horizontal="center" vertical="center" wrapText="1"/>
    </xf>
    <xf numFmtId="0" fontId="10" fillId="0" borderId="4" xfId="0" applyFont="1" applyBorder="1" applyProtection="1">
      <alignment vertical="center"/>
    </xf>
    <xf numFmtId="0" fontId="11" fillId="3" borderId="0" xfId="0" applyFont="1" applyFill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0" fontId="12" fillId="0" borderId="0" xfId="0" applyFont="1" applyProtection="1">
      <alignment vertical="center"/>
    </xf>
    <xf numFmtId="0" fontId="6" fillId="0" borderId="0" xfId="0" applyFont="1" applyAlignment="1" applyProtection="1">
      <alignment horizontal="center" vertical="center" wrapText="1"/>
    </xf>
    <xf numFmtId="0" fontId="6" fillId="0" borderId="0" xfId="0" applyFont="1" applyAlignment="1" applyProtection="1">
      <alignment horizontal="left" vertical="center" wrapText="1"/>
    </xf>
    <xf numFmtId="0" fontId="6" fillId="3" borderId="0" xfId="0" applyFont="1" applyFill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left" vertical="center" wrapText="1"/>
    </xf>
    <xf numFmtId="0" fontId="6" fillId="2" borderId="0" xfId="0" applyFont="1" applyFill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0" fontId="13" fillId="3" borderId="0" xfId="0" applyFont="1" applyFill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top" wrapText="1"/>
    </xf>
    <xf numFmtId="0" fontId="14" fillId="0" borderId="0" xfId="0" applyFont="1" applyAlignment="1" applyProtection="1">
      <alignment horizontal="left" vertical="top" wrapText="1"/>
    </xf>
    <xf numFmtId="0" fontId="15" fillId="0" borderId="0" xfId="0" applyFont="1" applyAlignment="1" applyProtection="1">
      <alignment horizontal="left" vertical="center" wrapText="1"/>
    </xf>
    <xf numFmtId="0" fontId="14" fillId="4" borderId="0" xfId="0" applyFont="1" applyFill="1" applyAlignment="1" applyProtection="1">
      <alignment horizontal="left" vertical="top" wrapText="1"/>
    </xf>
    <xf numFmtId="0" fontId="14" fillId="0" borderId="0" xfId="0" applyFont="1" applyAlignment="1" applyProtection="1">
      <alignment horizontal="center" vertical="top"/>
    </xf>
    <xf numFmtId="0" fontId="14" fillId="0" borderId="0" xfId="0" applyFont="1" applyAlignment="1" applyProtection="1">
      <alignment horizontal="left" vertical="top"/>
    </xf>
    <xf numFmtId="0" fontId="14" fillId="4" borderId="0" xfId="0" applyFont="1" applyFill="1" applyAlignment="1" applyProtection="1">
      <alignment horizontal="left" vertical="top"/>
    </xf>
    <xf numFmtId="0" fontId="16" fillId="0" borderId="0" xfId="0" applyFont="1" applyAlignment="1" applyProtection="1">
      <alignment horizontal="center" vertical="top"/>
    </xf>
    <xf numFmtId="0" fontId="17" fillId="4" borderId="0" xfId="0" applyFont="1" applyFill="1" applyAlignment="1" applyProtection="1">
      <alignment horizontal="left" vertical="top"/>
    </xf>
    <xf numFmtId="0" fontId="18" fillId="0" borderId="0" xfId="0" applyFont="1" applyAlignment="1" applyProtection="1">
      <alignment horizontal="center" vertical="top"/>
    </xf>
    <xf numFmtId="0" fontId="18" fillId="0" borderId="0" xfId="0" applyFont="1" applyAlignment="1" applyProtection="1">
      <alignment horizontal="left" vertical="top"/>
    </xf>
    <xf numFmtId="0" fontId="19" fillId="0" borderId="0" xfId="0" applyFont="1" applyAlignment="1" applyProtection="1">
      <alignment horizontal="center" vertical="center" wrapText="1"/>
    </xf>
    <xf numFmtId="0" fontId="21" fillId="0" borderId="6" xfId="0" applyFont="1" applyBorder="1" applyAlignment="1">
      <alignment horizontal="center" vertical="center" wrapText="1"/>
      <protection locked="0"/>
    </xf>
    <xf numFmtId="0" fontId="21" fillId="0" borderId="8" xfId="0" applyFont="1" applyBorder="1" applyAlignment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</xf>
    <xf numFmtId="0" fontId="23" fillId="0" borderId="6" xfId="0" applyFont="1" applyBorder="1" applyAlignment="1">
      <alignment horizontal="center" vertical="center" wrapText="1"/>
      <protection locked="0"/>
    </xf>
    <xf numFmtId="0" fontId="21" fillId="0" borderId="5" xfId="0" applyFont="1" applyBorder="1" applyAlignment="1">
      <alignment horizontal="center" vertical="center" wrapText="1"/>
      <protection locked="0"/>
    </xf>
    <xf numFmtId="0" fontId="21" fillId="0" borderId="7" xfId="0" applyFont="1" applyBorder="1" applyAlignment="1">
      <alignment horizontal="center" vertical="center" wrapText="1"/>
      <protection locked="0"/>
    </xf>
    <xf numFmtId="0" fontId="23" fillId="0" borderId="7" xfId="0" applyFont="1" applyBorder="1" applyAlignment="1">
      <alignment horizontal="center" vertical="center" wrapText="1"/>
      <protection locked="0"/>
    </xf>
    <xf numFmtId="0" fontId="23" fillId="0" borderId="8" xfId="0" applyFont="1" applyBorder="1" applyAlignment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 wrapText="1"/>
    </xf>
    <xf numFmtId="0" fontId="6" fillId="0" borderId="0" xfId="0" applyFont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top" wrapText="1"/>
    </xf>
    <xf numFmtId="0" fontId="14" fillId="0" borderId="0" xfId="0" applyFont="1" applyAlignment="1" applyProtection="1">
      <alignment horizontal="center" vertical="top"/>
    </xf>
    <xf numFmtId="0" fontId="6" fillId="2" borderId="0" xfId="0" applyFont="1" applyFill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0" fontId="7" fillId="0" borderId="21" xfId="0" applyFont="1" applyBorder="1" applyAlignment="1" applyProtection="1">
      <alignment horizontal="center" vertical="center" wrapText="1"/>
    </xf>
    <xf numFmtId="0" fontId="6" fillId="0" borderId="21" xfId="0" applyFont="1" applyBorder="1" applyAlignment="1" applyProtection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</xf>
    <xf numFmtId="0" fontId="6" fillId="2" borderId="36" xfId="0" applyFont="1" applyFill="1" applyBorder="1" applyAlignment="1" applyProtection="1">
      <alignment horizontal="center" vertical="center"/>
    </xf>
    <xf numFmtId="0" fontId="6" fillId="2" borderId="23" xfId="0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7" fillId="2" borderId="21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7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7" fillId="2" borderId="33" xfId="0" applyFont="1" applyFill="1" applyBorder="1" applyAlignment="1" applyProtection="1">
      <alignment horizontal="center" vertical="center" wrapText="1"/>
    </xf>
    <xf numFmtId="0" fontId="7" fillId="2" borderId="34" xfId="0" applyFont="1" applyFill="1" applyBorder="1" applyAlignment="1" applyProtection="1">
      <alignment horizontal="center" vertical="center" wrapText="1"/>
    </xf>
    <xf numFmtId="0" fontId="7" fillId="2" borderId="35" xfId="0" applyFont="1" applyFill="1" applyBorder="1" applyAlignment="1" applyProtection="1">
      <alignment horizontal="center" vertical="center" wrapText="1"/>
    </xf>
    <xf numFmtId="0" fontId="7" fillId="0" borderId="24" xfId="0" applyFont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 wrapText="1"/>
    </xf>
    <xf numFmtId="0" fontId="7" fillId="0" borderId="26" xfId="0" applyFont="1" applyBorder="1" applyAlignment="1" applyProtection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7" fillId="0" borderId="28" xfId="0" applyFont="1" applyBorder="1" applyAlignment="1" applyProtection="1">
      <alignment horizontal="center" vertical="center" wrapText="1"/>
    </xf>
    <xf numFmtId="0" fontId="7" fillId="0" borderId="29" xfId="0" applyFont="1" applyBorder="1" applyAlignment="1" applyProtection="1">
      <alignment horizontal="center" vertical="center" wrapText="1"/>
    </xf>
    <xf numFmtId="0" fontId="7" fillId="0" borderId="22" xfId="0" applyFont="1" applyBorder="1" applyAlignment="1" applyProtection="1">
      <alignment horizontal="center" vertical="center" wrapText="1"/>
    </xf>
    <xf numFmtId="0" fontId="7" fillId="0" borderId="23" xfId="0" applyFont="1" applyBorder="1" applyAlignment="1" applyProtection="1">
      <alignment horizontal="center" vertical="center" wrapText="1"/>
    </xf>
    <xf numFmtId="177" fontId="7" fillId="0" borderId="21" xfId="0" applyNumberFormat="1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10" fontId="7" fillId="2" borderId="13" xfId="0" applyNumberFormat="1" applyFont="1" applyFill="1" applyBorder="1" applyAlignment="1" applyProtection="1">
      <alignment horizontal="center" vertical="center" wrapText="1"/>
    </xf>
    <xf numFmtId="176" fontId="7" fillId="2" borderId="13" xfId="0" applyNumberFormat="1" applyFont="1" applyFill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/>
    </xf>
    <xf numFmtId="0" fontId="0" fillId="2" borderId="13" xfId="0" applyFill="1" applyBorder="1" applyAlignment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</xf>
    <xf numFmtId="0" fontId="7" fillId="2" borderId="13" xfId="0" applyFont="1" applyFill="1" applyBorder="1" applyAlignment="1" applyProtection="1">
      <alignment horizontal="center" vertical="center" wrapText="1"/>
    </xf>
    <xf numFmtId="10" fontId="7" fillId="2" borderId="18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1" fillId="0" borderId="3" xfId="0" applyFont="1" applyBorder="1" applyProtection="1">
      <alignment vertical="center"/>
    </xf>
    <xf numFmtId="0" fontId="24" fillId="5" borderId="37" xfId="0" applyFont="1" applyFill="1" applyBorder="1" applyAlignment="1">
      <alignment horizontal="center" vertical="center" wrapText="1"/>
      <protection locked="0"/>
    </xf>
    <xf numFmtId="0" fontId="24" fillId="5" borderId="38" xfId="0" applyFont="1" applyFill="1" applyBorder="1" applyAlignment="1">
      <alignment horizontal="center" vertical="center" wrapText="1"/>
      <protection locked="0"/>
    </xf>
    <xf numFmtId="0" fontId="24" fillId="5" borderId="39" xfId="0" applyFont="1" applyFill="1" applyBorder="1" applyAlignment="1">
      <alignment horizontal="center" vertical="center" wrapText="1"/>
      <protection locked="0"/>
    </xf>
    <xf numFmtId="0" fontId="25" fillId="5" borderId="37" xfId="0" applyFont="1" applyFill="1" applyBorder="1" applyAlignment="1">
      <alignment horizontal="center" vertical="center" wrapText="1"/>
      <protection locked="0"/>
    </xf>
    <xf numFmtId="0" fontId="25" fillId="5" borderId="38" xfId="0" applyFont="1" applyFill="1" applyBorder="1" applyAlignment="1">
      <alignment horizontal="center" vertical="center" wrapText="1"/>
      <protection locked="0"/>
    </xf>
    <xf numFmtId="0" fontId="25" fillId="5" borderId="39" xfId="0" applyFont="1" applyFill="1" applyBorder="1" applyAlignment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8"/>
  <sheetViews>
    <sheetView workbookViewId="0">
      <pane ySplit="1" topLeftCell="A285" activePane="bottomLeft" state="frozen"/>
      <selection pane="bottomLeft"/>
    </sheetView>
  </sheetViews>
  <sheetFormatPr defaultColWidth="13.33203125" defaultRowHeight="16.5" customHeight="1"/>
  <cols>
    <col min="1" max="1" width="21.109375" style="39" customWidth="1"/>
    <col min="2" max="2" width="29.44140625" style="39" customWidth="1"/>
    <col min="3" max="3" width="17.33203125" style="39" customWidth="1"/>
    <col min="4" max="4" width="11.6640625" style="39" customWidth="1"/>
    <col min="5" max="5" width="14.109375" style="39" customWidth="1"/>
    <col min="6" max="6" width="17" style="39" customWidth="1"/>
    <col min="7" max="7" width="91.44140625" style="40" customWidth="1"/>
    <col min="8" max="8" width="28.88671875" style="39" customWidth="1"/>
    <col min="9" max="9" width="53.44140625" style="39" customWidth="1"/>
  </cols>
  <sheetData>
    <row r="1" spans="1:9" s="36" customFormat="1" ht="50.25" customHeight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2" t="s">
        <v>6</v>
      </c>
      <c r="H1" s="41" t="s">
        <v>7</v>
      </c>
      <c r="I1" s="45" t="s">
        <v>8</v>
      </c>
    </row>
    <row r="2" spans="1:9" ht="28.5" customHeight="1">
      <c r="A2" s="67" t="s">
        <v>9</v>
      </c>
      <c r="B2" s="67" t="s">
        <v>10</v>
      </c>
      <c r="C2" s="67" t="s">
        <v>11</v>
      </c>
      <c r="F2" s="39" t="s">
        <v>12</v>
      </c>
      <c r="G2" s="40" t="s">
        <v>13</v>
      </c>
      <c r="H2" s="39" t="s">
        <v>14</v>
      </c>
      <c r="I2" s="43"/>
    </row>
    <row r="3" spans="1:9" ht="15.75" customHeight="1">
      <c r="A3" s="67"/>
      <c r="B3" s="67"/>
      <c r="C3" s="67"/>
      <c r="G3" s="40" t="s">
        <v>15</v>
      </c>
      <c r="I3" s="43"/>
    </row>
    <row r="4" spans="1:9" ht="15.75" customHeight="1">
      <c r="A4" s="39" t="s">
        <v>16</v>
      </c>
      <c r="B4" s="39" t="s">
        <v>17</v>
      </c>
      <c r="C4" s="39" t="s">
        <v>11</v>
      </c>
      <c r="E4" s="39" t="s">
        <v>18</v>
      </c>
      <c r="F4" s="39" t="s">
        <v>18</v>
      </c>
      <c r="G4" s="40" t="s">
        <v>19</v>
      </c>
      <c r="H4" s="39" t="s">
        <v>20</v>
      </c>
      <c r="I4" s="43" t="s">
        <v>21</v>
      </c>
    </row>
    <row r="5" spans="1:9" ht="15.75" customHeight="1">
      <c r="A5" s="39" t="s">
        <v>22</v>
      </c>
      <c r="B5" s="39" t="s">
        <v>23</v>
      </c>
      <c r="C5" s="39" t="s">
        <v>24</v>
      </c>
      <c r="E5" s="39" t="s">
        <v>25</v>
      </c>
      <c r="F5" s="39" t="s">
        <v>26</v>
      </c>
      <c r="G5" s="40" t="s">
        <v>27</v>
      </c>
      <c r="H5" s="39" t="s">
        <v>20</v>
      </c>
      <c r="I5" s="43" t="s">
        <v>28</v>
      </c>
    </row>
    <row r="6" spans="1:9" ht="15.75" customHeight="1">
      <c r="A6" s="39" t="s">
        <v>29</v>
      </c>
      <c r="B6" s="39" t="s">
        <v>30</v>
      </c>
      <c r="C6" s="39" t="s">
        <v>31</v>
      </c>
      <c r="E6" s="39" t="s">
        <v>32</v>
      </c>
      <c r="F6" s="39" t="s">
        <v>25</v>
      </c>
      <c r="G6" s="40" t="s">
        <v>33</v>
      </c>
    </row>
    <row r="7" spans="1:9" ht="15.75" customHeight="1">
      <c r="A7" s="67" t="s">
        <v>34</v>
      </c>
      <c r="B7" s="67" t="s">
        <v>35</v>
      </c>
      <c r="C7" s="67" t="s">
        <v>31</v>
      </c>
      <c r="E7" s="67" t="s">
        <v>36</v>
      </c>
      <c r="F7" s="39" t="s">
        <v>36</v>
      </c>
      <c r="G7" s="40" t="s">
        <v>37</v>
      </c>
      <c r="H7" s="39" t="s">
        <v>38</v>
      </c>
    </row>
    <row r="8" spans="1:9" ht="15.75" customHeight="1">
      <c r="A8" s="67"/>
      <c r="B8" s="67"/>
      <c r="C8" s="67"/>
      <c r="E8" s="67"/>
      <c r="F8" s="39" t="s">
        <v>36</v>
      </c>
      <c r="G8" s="40" t="s">
        <v>39</v>
      </c>
      <c r="H8" s="39" t="s">
        <v>38</v>
      </c>
    </row>
    <row r="9" spans="1:9" ht="15.75" customHeight="1">
      <c r="A9" s="67"/>
      <c r="B9" s="67"/>
      <c r="C9" s="67"/>
      <c r="E9" s="67"/>
      <c r="F9" s="39" t="s">
        <v>40</v>
      </c>
      <c r="G9" s="40" t="s">
        <v>41</v>
      </c>
    </row>
    <row r="10" spans="1:9" ht="15.75" customHeight="1">
      <c r="A10" s="67"/>
      <c r="B10" s="67"/>
      <c r="C10" s="67"/>
      <c r="E10" s="67"/>
      <c r="F10" s="39" t="s">
        <v>40</v>
      </c>
      <c r="G10" s="40" t="s">
        <v>42</v>
      </c>
    </row>
    <row r="11" spans="1:9" ht="15.75" customHeight="1">
      <c r="A11" s="67"/>
      <c r="B11" s="67"/>
      <c r="C11" s="67"/>
      <c r="E11" s="67"/>
      <c r="F11" s="39" t="s">
        <v>36</v>
      </c>
      <c r="G11" s="40" t="s">
        <v>43</v>
      </c>
      <c r="H11" s="39" t="s">
        <v>38</v>
      </c>
    </row>
    <row r="12" spans="1:9" ht="15.75" customHeight="1">
      <c r="A12" s="39" t="s">
        <v>44</v>
      </c>
      <c r="B12" s="39" t="s">
        <v>45</v>
      </c>
      <c r="C12" s="39" t="s">
        <v>46</v>
      </c>
      <c r="E12" s="39" t="s">
        <v>32</v>
      </c>
      <c r="F12" s="39" t="s">
        <v>32</v>
      </c>
      <c r="G12" s="40" t="s">
        <v>47</v>
      </c>
      <c r="H12" s="39" t="s">
        <v>38</v>
      </c>
    </row>
    <row r="13" spans="1:9" ht="15.75" customHeight="1">
      <c r="A13" s="67" t="s">
        <v>48</v>
      </c>
      <c r="B13" s="67" t="s">
        <v>49</v>
      </c>
      <c r="C13" s="67" t="s">
        <v>46</v>
      </c>
      <c r="E13" s="67" t="s">
        <v>50</v>
      </c>
      <c r="F13" s="39" t="s">
        <v>50</v>
      </c>
      <c r="G13" s="40" t="s">
        <v>51</v>
      </c>
      <c r="H13" s="39" t="s">
        <v>38</v>
      </c>
    </row>
    <row r="14" spans="1:9" ht="15.75" customHeight="1">
      <c r="A14" s="67"/>
      <c r="B14" s="67"/>
      <c r="C14" s="67"/>
      <c r="E14" s="67"/>
      <c r="F14" s="39" t="s">
        <v>50</v>
      </c>
      <c r="G14" s="40" t="s">
        <v>52</v>
      </c>
    </row>
    <row r="15" spans="1:9" ht="15.75" customHeight="1">
      <c r="A15" s="67"/>
      <c r="B15" s="67"/>
      <c r="C15" s="67"/>
      <c r="E15" s="67"/>
      <c r="F15" s="39" t="s">
        <v>53</v>
      </c>
      <c r="G15" s="40" t="s">
        <v>54</v>
      </c>
    </row>
    <row r="16" spans="1:9" ht="15.75" customHeight="1">
      <c r="A16" s="67"/>
      <c r="B16" s="67"/>
      <c r="C16" s="67"/>
      <c r="E16" s="67"/>
      <c r="F16" s="39" t="s">
        <v>55</v>
      </c>
      <c r="G16" s="40" t="s">
        <v>56</v>
      </c>
    </row>
    <row r="17" spans="1:8" ht="16.5" customHeight="1">
      <c r="A17" s="67"/>
      <c r="B17" s="67"/>
      <c r="C17" s="67"/>
      <c r="E17" s="67"/>
    </row>
    <row r="18" spans="1:8" ht="15.75" customHeight="1">
      <c r="A18" s="67"/>
      <c r="B18" s="67"/>
      <c r="C18" s="67"/>
      <c r="E18" s="67"/>
      <c r="F18" s="39" t="s">
        <v>50</v>
      </c>
      <c r="G18" s="40" t="s">
        <v>57</v>
      </c>
    </row>
    <row r="19" spans="1:8" ht="15.75" customHeight="1">
      <c r="A19" s="67"/>
      <c r="B19" s="67"/>
      <c r="C19" s="67"/>
      <c r="E19" s="67"/>
      <c r="F19" s="39" t="s">
        <v>50</v>
      </c>
      <c r="G19" s="40" t="s">
        <v>58</v>
      </c>
    </row>
    <row r="20" spans="1:8" ht="15.75" customHeight="1">
      <c r="A20" s="67"/>
      <c r="B20" s="67"/>
      <c r="C20" s="67"/>
      <c r="E20" s="67"/>
      <c r="F20" s="39" t="s">
        <v>36</v>
      </c>
      <c r="G20" s="40" t="s">
        <v>59</v>
      </c>
    </row>
    <row r="21" spans="1:8" ht="16.5" customHeight="1">
      <c r="A21" s="67"/>
      <c r="B21" s="67"/>
      <c r="C21" s="67"/>
      <c r="E21" s="67"/>
    </row>
    <row r="22" spans="1:8" ht="31.75" customHeight="1">
      <c r="A22" s="67"/>
      <c r="B22" s="67"/>
      <c r="C22" s="67"/>
      <c r="E22" s="67"/>
      <c r="F22" s="39" t="s">
        <v>36</v>
      </c>
      <c r="G22" s="40" t="s">
        <v>60</v>
      </c>
      <c r="H22" s="39" t="s">
        <v>61</v>
      </c>
    </row>
    <row r="23" spans="1:8" ht="15.75" customHeight="1">
      <c r="A23" s="67"/>
      <c r="B23" s="67"/>
      <c r="C23" s="67"/>
      <c r="E23" s="67"/>
      <c r="F23" s="39" t="s">
        <v>50</v>
      </c>
      <c r="G23" s="40" t="s">
        <v>62</v>
      </c>
      <c r="H23" s="39" t="s">
        <v>38</v>
      </c>
    </row>
    <row r="24" spans="1:8" ht="15.75" customHeight="1">
      <c r="A24" s="67"/>
      <c r="B24" s="67"/>
      <c r="C24" s="67"/>
      <c r="E24" s="67"/>
      <c r="F24" s="39" t="s">
        <v>63</v>
      </c>
      <c r="G24" s="40" t="s">
        <v>64</v>
      </c>
    </row>
    <row r="25" spans="1:8" ht="15.75" customHeight="1">
      <c r="A25" s="67"/>
      <c r="B25" s="67"/>
      <c r="C25" s="67"/>
      <c r="E25" s="67"/>
      <c r="F25" s="39" t="s">
        <v>63</v>
      </c>
      <c r="G25" s="40" t="s">
        <v>65</v>
      </c>
      <c r="H25" s="39" t="s">
        <v>61</v>
      </c>
    </row>
    <row r="26" spans="1:8" ht="15.75" customHeight="1">
      <c r="A26" s="67"/>
      <c r="B26" s="67"/>
      <c r="C26" s="67"/>
      <c r="E26" s="67"/>
      <c r="F26" s="39" t="s">
        <v>66</v>
      </c>
      <c r="G26" s="40" t="s">
        <v>67</v>
      </c>
    </row>
    <row r="27" spans="1:8" ht="15.75" customHeight="1">
      <c r="A27" s="67"/>
      <c r="B27" s="67"/>
      <c r="C27" s="67"/>
      <c r="E27" s="67"/>
      <c r="F27" s="39" t="s">
        <v>50</v>
      </c>
      <c r="G27" s="40" t="s">
        <v>68</v>
      </c>
    </row>
    <row r="28" spans="1:8" ht="15.75" customHeight="1">
      <c r="A28" s="67"/>
      <c r="B28" s="67"/>
      <c r="C28" s="67"/>
      <c r="E28" s="67"/>
      <c r="F28" s="39" t="s">
        <v>50</v>
      </c>
      <c r="G28" s="40" t="s">
        <v>69</v>
      </c>
      <c r="H28" s="39" t="s">
        <v>38</v>
      </c>
    </row>
    <row r="29" spans="1:8" ht="15.75" customHeight="1">
      <c r="A29" s="67" t="s">
        <v>70</v>
      </c>
      <c r="B29" s="67" t="s">
        <v>71</v>
      </c>
      <c r="C29" s="67" t="s">
        <v>72</v>
      </c>
      <c r="E29" s="67" t="s">
        <v>32</v>
      </c>
      <c r="F29" s="39" t="s">
        <v>50</v>
      </c>
      <c r="G29" s="40" t="s">
        <v>73</v>
      </c>
      <c r="H29" s="39" t="s">
        <v>61</v>
      </c>
    </row>
    <row r="30" spans="1:8" ht="15.75" customHeight="1">
      <c r="A30" s="67"/>
      <c r="B30" s="67"/>
      <c r="C30" s="67"/>
      <c r="E30" s="67"/>
      <c r="F30" s="39" t="s">
        <v>32</v>
      </c>
      <c r="G30" s="40" t="s">
        <v>74</v>
      </c>
      <c r="H30" s="39" t="s">
        <v>38</v>
      </c>
    </row>
    <row r="31" spans="1:8" ht="15.75" customHeight="1">
      <c r="A31" s="39" t="s">
        <v>75</v>
      </c>
      <c r="B31" s="39" t="s">
        <v>76</v>
      </c>
      <c r="C31" s="39" t="s">
        <v>72</v>
      </c>
      <c r="E31" s="39" t="s">
        <v>63</v>
      </c>
      <c r="F31" s="39" t="s">
        <v>77</v>
      </c>
      <c r="G31" s="40" t="s">
        <v>78</v>
      </c>
    </row>
    <row r="32" spans="1:8" ht="15.75" customHeight="1">
      <c r="A32" s="67" t="s">
        <v>79</v>
      </c>
      <c r="B32" s="67" t="s">
        <v>80</v>
      </c>
      <c r="C32" s="67" t="s">
        <v>72</v>
      </c>
      <c r="E32" s="67" t="s">
        <v>50</v>
      </c>
      <c r="F32" s="39" t="s">
        <v>81</v>
      </c>
      <c r="G32" s="40" t="s">
        <v>82</v>
      </c>
    </row>
    <row r="33" spans="1:8" ht="15.75" customHeight="1">
      <c r="A33" s="67"/>
      <c r="B33" s="67"/>
      <c r="C33" s="67"/>
      <c r="E33" s="67"/>
      <c r="F33" s="39" t="s">
        <v>55</v>
      </c>
      <c r="G33" s="40" t="s">
        <v>56</v>
      </c>
    </row>
    <row r="34" spans="1:8" ht="15.75" customHeight="1">
      <c r="A34" s="67"/>
      <c r="B34" s="67"/>
      <c r="C34" s="67"/>
      <c r="E34" s="67"/>
      <c r="F34" s="39" t="s">
        <v>50</v>
      </c>
      <c r="G34" s="40" t="s">
        <v>83</v>
      </c>
    </row>
    <row r="35" spans="1:8" ht="15.75" customHeight="1">
      <c r="A35" s="67"/>
      <c r="B35" s="67"/>
      <c r="C35" s="67"/>
      <c r="E35" s="67"/>
      <c r="F35" s="39" t="s">
        <v>50</v>
      </c>
      <c r="G35" s="40" t="s">
        <v>84</v>
      </c>
    </row>
    <row r="36" spans="1:8" ht="15.75" customHeight="1">
      <c r="A36" s="67"/>
      <c r="B36" s="67"/>
      <c r="C36" s="67"/>
      <c r="E36" s="67"/>
      <c r="F36" s="39" t="s">
        <v>50</v>
      </c>
      <c r="G36" s="40" t="s">
        <v>85</v>
      </c>
      <c r="H36" s="39" t="s">
        <v>38</v>
      </c>
    </row>
    <row r="37" spans="1:8" ht="15.75" customHeight="1">
      <c r="A37" s="67"/>
      <c r="B37" s="67"/>
      <c r="C37" s="67"/>
      <c r="E37" s="67"/>
      <c r="F37" s="39" t="s">
        <v>50</v>
      </c>
      <c r="G37" s="40" t="s">
        <v>86</v>
      </c>
      <c r="H37" s="39" t="s">
        <v>38</v>
      </c>
    </row>
    <row r="38" spans="1:8" ht="15.75" customHeight="1">
      <c r="A38" s="67"/>
      <c r="B38" s="67"/>
      <c r="C38" s="67"/>
      <c r="E38" s="67"/>
      <c r="F38" s="39" t="s">
        <v>50</v>
      </c>
      <c r="G38" s="40" t="s">
        <v>87</v>
      </c>
      <c r="H38" s="39" t="s">
        <v>38</v>
      </c>
    </row>
    <row r="39" spans="1:8" ht="15.75" customHeight="1">
      <c r="A39" s="67"/>
      <c r="B39" s="67"/>
      <c r="C39" s="67"/>
      <c r="E39" s="67"/>
      <c r="F39" s="39" t="s">
        <v>12</v>
      </c>
      <c r="G39" s="40" t="s">
        <v>88</v>
      </c>
    </row>
    <row r="40" spans="1:8" ht="15.75" customHeight="1">
      <c r="A40" s="67"/>
      <c r="B40" s="67"/>
      <c r="C40" s="67"/>
      <c r="E40" s="67"/>
      <c r="F40" s="39" t="s">
        <v>50</v>
      </c>
      <c r="G40" s="40" t="s">
        <v>89</v>
      </c>
      <c r="H40" s="39" t="s">
        <v>38</v>
      </c>
    </row>
    <row r="41" spans="1:8" ht="15.75" customHeight="1">
      <c r="A41" s="67"/>
      <c r="B41" s="67"/>
      <c r="C41" s="67"/>
      <c r="E41" s="67"/>
      <c r="F41" s="39" t="s">
        <v>66</v>
      </c>
      <c r="G41" s="40" t="s">
        <v>90</v>
      </c>
    </row>
    <row r="42" spans="1:8" ht="15.75" customHeight="1">
      <c r="A42" s="67"/>
      <c r="B42" s="67"/>
      <c r="C42" s="67"/>
      <c r="E42" s="67"/>
      <c r="F42" s="39" t="s">
        <v>55</v>
      </c>
      <c r="G42" s="40" t="s">
        <v>91</v>
      </c>
    </row>
    <row r="43" spans="1:8" ht="15.75" customHeight="1">
      <c r="A43" s="67"/>
      <c r="B43" s="67"/>
      <c r="C43" s="67"/>
      <c r="E43" s="67"/>
      <c r="F43" s="39" t="s">
        <v>50</v>
      </c>
      <c r="G43" s="40" t="s">
        <v>92</v>
      </c>
    </row>
    <row r="44" spans="1:8" ht="15.75" customHeight="1">
      <c r="A44" s="67"/>
      <c r="B44" s="67"/>
      <c r="C44" s="67"/>
      <c r="E44" s="67"/>
      <c r="F44" s="39" t="s">
        <v>50</v>
      </c>
      <c r="G44" s="40" t="s">
        <v>93</v>
      </c>
      <c r="H44" s="39" t="s">
        <v>38</v>
      </c>
    </row>
    <row r="45" spans="1:8" ht="15.75" customHeight="1">
      <c r="A45" s="67"/>
      <c r="B45" s="67"/>
      <c r="C45" s="67"/>
      <c r="E45" s="67"/>
      <c r="F45" s="39" t="s">
        <v>50</v>
      </c>
      <c r="G45" s="40" t="s">
        <v>94</v>
      </c>
      <c r="H45" s="39" t="s">
        <v>38</v>
      </c>
    </row>
    <row r="46" spans="1:8" ht="15.75" customHeight="1">
      <c r="A46" s="67"/>
      <c r="B46" s="67"/>
      <c r="C46" s="67"/>
      <c r="E46" s="67"/>
      <c r="F46" s="39" t="s">
        <v>55</v>
      </c>
      <c r="G46" s="40" t="s">
        <v>95</v>
      </c>
    </row>
    <row r="47" spans="1:8" ht="15.75" customHeight="1">
      <c r="A47" s="67"/>
      <c r="B47" s="67"/>
      <c r="C47" s="67"/>
      <c r="E47" s="67"/>
      <c r="F47" s="39" t="s">
        <v>50</v>
      </c>
      <c r="G47" s="40" t="s">
        <v>96</v>
      </c>
      <c r="H47" s="39" t="s">
        <v>38</v>
      </c>
    </row>
    <row r="48" spans="1:8" ht="15.75" customHeight="1">
      <c r="A48" s="67" t="s">
        <v>97</v>
      </c>
      <c r="B48" s="67" t="s">
        <v>80</v>
      </c>
      <c r="C48" s="67" t="s">
        <v>72</v>
      </c>
      <c r="E48" s="67" t="s">
        <v>55</v>
      </c>
      <c r="F48" s="39" t="s">
        <v>55</v>
      </c>
      <c r="G48" s="40" t="s">
        <v>96</v>
      </c>
      <c r="H48" s="39" t="s">
        <v>38</v>
      </c>
    </row>
    <row r="49" spans="1:8" ht="15.75" customHeight="1">
      <c r="A49" s="67"/>
      <c r="B49" s="67"/>
      <c r="C49" s="67"/>
      <c r="E49" s="67"/>
      <c r="F49" s="39" t="s">
        <v>55</v>
      </c>
      <c r="G49" s="40" t="s">
        <v>86</v>
      </c>
      <c r="H49" s="39" t="s">
        <v>38</v>
      </c>
    </row>
    <row r="50" spans="1:8" ht="15.75" customHeight="1">
      <c r="A50" s="67"/>
      <c r="B50" s="67"/>
      <c r="C50" s="67"/>
      <c r="E50" s="67"/>
      <c r="F50" s="39" t="s">
        <v>25</v>
      </c>
      <c r="G50" s="40" t="s">
        <v>98</v>
      </c>
    </row>
    <row r="51" spans="1:8" ht="15.75" customHeight="1">
      <c r="A51" s="67"/>
      <c r="B51" s="67"/>
      <c r="C51" s="67"/>
      <c r="E51" s="67"/>
      <c r="F51" s="39" t="s">
        <v>55</v>
      </c>
      <c r="G51" s="40" t="s">
        <v>99</v>
      </c>
    </row>
    <row r="52" spans="1:8" ht="15.75" customHeight="1">
      <c r="A52" s="67"/>
      <c r="B52" s="67"/>
      <c r="C52" s="67"/>
      <c r="E52" s="67"/>
      <c r="F52" s="39" t="s">
        <v>63</v>
      </c>
      <c r="G52" s="40" t="s">
        <v>64</v>
      </c>
    </row>
    <row r="53" spans="1:8" ht="15.75" customHeight="1">
      <c r="A53" s="67"/>
      <c r="B53" s="67"/>
      <c r="C53" s="67"/>
      <c r="E53" s="67"/>
      <c r="F53" s="39" t="s">
        <v>55</v>
      </c>
      <c r="G53" s="40" t="s">
        <v>100</v>
      </c>
      <c r="H53" s="39" t="s">
        <v>38</v>
      </c>
    </row>
    <row r="54" spans="1:8" ht="15.75" customHeight="1">
      <c r="A54" s="67" t="s">
        <v>101</v>
      </c>
      <c r="B54" s="67" t="s">
        <v>102</v>
      </c>
      <c r="C54" s="67" t="s">
        <v>72</v>
      </c>
      <c r="E54" s="67" t="s">
        <v>32</v>
      </c>
      <c r="F54" s="39" t="s">
        <v>32</v>
      </c>
      <c r="G54" s="40" t="s">
        <v>103</v>
      </c>
      <c r="H54" s="39" t="s">
        <v>38</v>
      </c>
    </row>
    <row r="55" spans="1:8" ht="15.75" customHeight="1">
      <c r="A55" s="67"/>
      <c r="B55" s="67"/>
      <c r="C55" s="67"/>
      <c r="E55" s="67"/>
      <c r="F55" s="39" t="s">
        <v>50</v>
      </c>
      <c r="G55" s="40" t="s">
        <v>104</v>
      </c>
      <c r="H55" s="39" t="s">
        <v>61</v>
      </c>
    </row>
    <row r="56" spans="1:8" ht="15.75" customHeight="1">
      <c r="A56" s="39" t="s">
        <v>105</v>
      </c>
      <c r="B56" s="39" t="s">
        <v>106</v>
      </c>
      <c r="C56" s="39" t="s">
        <v>72</v>
      </c>
      <c r="E56" s="39" t="s">
        <v>32</v>
      </c>
      <c r="F56" s="39" t="s">
        <v>107</v>
      </c>
      <c r="G56" s="40" t="s">
        <v>108</v>
      </c>
    </row>
    <row r="57" spans="1:8" ht="15.75" customHeight="1">
      <c r="A57" s="70" t="s">
        <v>109</v>
      </c>
      <c r="B57" s="70"/>
      <c r="C57" s="70"/>
      <c r="D57" s="70"/>
      <c r="E57" s="70"/>
      <c r="F57" s="70"/>
      <c r="G57" s="71"/>
      <c r="H57" s="70"/>
    </row>
    <row r="58" spans="1:8" ht="15.75" customHeight="1">
      <c r="A58" s="67" t="s">
        <v>110</v>
      </c>
      <c r="B58" s="67" t="s">
        <v>111</v>
      </c>
      <c r="C58" s="67" t="s">
        <v>112</v>
      </c>
      <c r="E58" s="67" t="s">
        <v>32</v>
      </c>
      <c r="F58" s="39" t="s">
        <v>32</v>
      </c>
      <c r="G58" s="40" t="s">
        <v>113</v>
      </c>
      <c r="H58" s="39" t="s">
        <v>38</v>
      </c>
    </row>
    <row r="59" spans="1:8" ht="15.75" customHeight="1">
      <c r="A59" s="67"/>
      <c r="B59" s="67"/>
      <c r="C59" s="67"/>
      <c r="E59" s="67"/>
      <c r="F59" s="39" t="s">
        <v>32</v>
      </c>
      <c r="G59" s="40" t="s">
        <v>114</v>
      </c>
    </row>
    <row r="60" spans="1:8" ht="15.75" customHeight="1">
      <c r="A60" s="67"/>
      <c r="B60" s="67"/>
      <c r="C60" s="67"/>
      <c r="E60" s="67"/>
      <c r="F60" s="39" t="s">
        <v>32</v>
      </c>
      <c r="G60" s="40" t="s">
        <v>115</v>
      </c>
      <c r="H60" s="39" t="s">
        <v>38</v>
      </c>
    </row>
    <row r="61" spans="1:8" ht="15.75" customHeight="1">
      <c r="A61" s="67"/>
      <c r="B61" s="67"/>
      <c r="C61" s="67"/>
      <c r="E61" s="67"/>
      <c r="F61" s="39" t="s">
        <v>116</v>
      </c>
      <c r="G61" s="40" t="s">
        <v>117</v>
      </c>
    </row>
    <row r="62" spans="1:8" ht="15.75" customHeight="1">
      <c r="A62" s="67"/>
      <c r="B62" s="67"/>
      <c r="C62" s="67"/>
      <c r="E62" s="67"/>
      <c r="F62" s="39" t="s">
        <v>116</v>
      </c>
      <c r="G62" s="40" t="s">
        <v>118</v>
      </c>
    </row>
    <row r="63" spans="1:8" ht="15.75" customHeight="1">
      <c r="A63" s="67"/>
      <c r="B63" s="67"/>
      <c r="C63" s="67"/>
      <c r="E63" s="67"/>
      <c r="F63" s="39" t="s">
        <v>32</v>
      </c>
      <c r="G63" s="40" t="s">
        <v>119</v>
      </c>
      <c r="H63" s="39" t="s">
        <v>38</v>
      </c>
    </row>
    <row r="64" spans="1:8" ht="15.75" customHeight="1">
      <c r="A64" s="67"/>
      <c r="B64" s="67"/>
      <c r="C64" s="67"/>
      <c r="E64" s="67"/>
      <c r="F64" s="39" t="s">
        <v>32</v>
      </c>
      <c r="G64" s="40" t="s">
        <v>120</v>
      </c>
      <c r="H64" s="39" t="s">
        <v>38</v>
      </c>
    </row>
    <row r="65" spans="1:8" ht="15.75" customHeight="1">
      <c r="A65" s="67" t="s">
        <v>121</v>
      </c>
      <c r="B65" s="67" t="s">
        <v>122</v>
      </c>
      <c r="C65" s="67" t="s">
        <v>112</v>
      </c>
      <c r="E65" s="67" t="s">
        <v>18</v>
      </c>
      <c r="F65" s="39" t="s">
        <v>18</v>
      </c>
      <c r="G65" s="40" t="s">
        <v>123</v>
      </c>
      <c r="H65" s="39" t="s">
        <v>38</v>
      </c>
    </row>
    <row r="66" spans="1:8" ht="15.75" customHeight="1">
      <c r="A66" s="67"/>
      <c r="B66" s="67"/>
      <c r="C66" s="67"/>
      <c r="E66" s="67"/>
      <c r="F66" s="39" t="s">
        <v>18</v>
      </c>
      <c r="G66" s="40" t="s">
        <v>119</v>
      </c>
      <c r="H66" s="39" t="s">
        <v>38</v>
      </c>
    </row>
    <row r="67" spans="1:8" ht="15.75" customHeight="1">
      <c r="A67" s="67"/>
      <c r="B67" s="67"/>
      <c r="C67" s="67"/>
      <c r="E67" s="67"/>
      <c r="F67" s="39" t="s">
        <v>18</v>
      </c>
      <c r="G67" s="40" t="s">
        <v>124</v>
      </c>
      <c r="H67" s="39" t="s">
        <v>38</v>
      </c>
    </row>
    <row r="68" spans="1:8" ht="15.75" customHeight="1">
      <c r="A68" s="67" t="s">
        <v>125</v>
      </c>
      <c r="B68" s="67" t="s">
        <v>80</v>
      </c>
      <c r="C68" s="67" t="s">
        <v>112</v>
      </c>
      <c r="E68" s="67" t="s">
        <v>36</v>
      </c>
      <c r="F68" s="39" t="s">
        <v>36</v>
      </c>
      <c r="G68" s="40" t="s">
        <v>126</v>
      </c>
      <c r="H68" s="39" t="s">
        <v>38</v>
      </c>
    </row>
    <row r="69" spans="1:8" ht="15.75" customHeight="1">
      <c r="A69" s="67"/>
      <c r="B69" s="67"/>
      <c r="C69" s="67"/>
      <c r="E69" s="67"/>
      <c r="F69" s="39" t="s">
        <v>36</v>
      </c>
      <c r="G69" s="40" t="s">
        <v>127</v>
      </c>
      <c r="H69" s="39" t="s">
        <v>38</v>
      </c>
    </row>
    <row r="70" spans="1:8" ht="15.75" customHeight="1">
      <c r="A70" s="67" t="s">
        <v>128</v>
      </c>
      <c r="B70" s="67" t="s">
        <v>129</v>
      </c>
      <c r="C70" s="67" t="s">
        <v>130</v>
      </c>
      <c r="E70" s="67" t="s">
        <v>32</v>
      </c>
      <c r="F70" s="39" t="s">
        <v>32</v>
      </c>
      <c r="G70" s="40" t="s">
        <v>131</v>
      </c>
      <c r="H70" s="39" t="s">
        <v>38</v>
      </c>
    </row>
    <row r="71" spans="1:8" ht="15.75" customHeight="1">
      <c r="A71" s="67"/>
      <c r="B71" s="67"/>
      <c r="C71" s="67"/>
      <c r="E71" s="67"/>
      <c r="F71" s="39" t="s">
        <v>32</v>
      </c>
      <c r="G71" s="40" t="s">
        <v>132</v>
      </c>
      <c r="H71" s="39" t="s">
        <v>38</v>
      </c>
    </row>
    <row r="72" spans="1:8" ht="15.75" customHeight="1">
      <c r="A72" s="67"/>
      <c r="B72" s="67"/>
      <c r="C72" s="67"/>
      <c r="E72" s="67"/>
      <c r="F72" s="39" t="s">
        <v>12</v>
      </c>
      <c r="G72" s="40" t="s">
        <v>133</v>
      </c>
      <c r="H72" s="39" t="s">
        <v>61</v>
      </c>
    </row>
    <row r="73" spans="1:8" ht="15.75" customHeight="1">
      <c r="A73" s="67"/>
      <c r="B73" s="67"/>
      <c r="C73" s="67"/>
      <c r="E73" s="67"/>
      <c r="F73" s="39" t="s">
        <v>55</v>
      </c>
      <c r="G73" s="40" t="s">
        <v>134</v>
      </c>
    </row>
    <row r="74" spans="1:8" ht="15.75" customHeight="1">
      <c r="A74" s="67" t="s">
        <v>135</v>
      </c>
      <c r="B74" s="67" t="s">
        <v>136</v>
      </c>
      <c r="C74" s="67" t="s">
        <v>130</v>
      </c>
      <c r="E74" s="67" t="s">
        <v>55</v>
      </c>
      <c r="F74" s="39" t="s">
        <v>137</v>
      </c>
      <c r="G74" s="40" t="s">
        <v>138</v>
      </c>
    </row>
    <row r="75" spans="1:8" ht="15.75" customHeight="1">
      <c r="A75" s="67"/>
      <c r="B75" s="67"/>
      <c r="C75" s="67"/>
      <c r="E75" s="67"/>
      <c r="F75" s="39" t="s">
        <v>55</v>
      </c>
      <c r="G75" s="40" t="s">
        <v>139</v>
      </c>
      <c r="H75" s="39" t="s">
        <v>38</v>
      </c>
    </row>
    <row r="76" spans="1:8" ht="15.75" customHeight="1">
      <c r="A76" s="67" t="s">
        <v>140</v>
      </c>
      <c r="B76" s="67" t="s">
        <v>141</v>
      </c>
      <c r="C76" s="67" t="s">
        <v>130</v>
      </c>
      <c r="E76" s="67" t="s">
        <v>36</v>
      </c>
      <c r="F76" s="39" t="s">
        <v>36</v>
      </c>
      <c r="G76" s="40" t="s">
        <v>142</v>
      </c>
      <c r="H76" s="39" t="s">
        <v>38</v>
      </c>
    </row>
    <row r="77" spans="1:8" ht="15.75" customHeight="1">
      <c r="A77" s="67"/>
      <c r="B77" s="67"/>
      <c r="C77" s="67"/>
      <c r="E77" s="67"/>
      <c r="F77" s="39" t="s">
        <v>36</v>
      </c>
      <c r="G77" s="40" t="s">
        <v>143</v>
      </c>
      <c r="H77" s="39" t="s">
        <v>38</v>
      </c>
    </row>
    <row r="78" spans="1:8" ht="15.75" customHeight="1">
      <c r="A78" s="67"/>
      <c r="B78" s="67"/>
      <c r="C78" s="67"/>
      <c r="E78" s="67"/>
      <c r="F78" s="39" t="s">
        <v>36</v>
      </c>
      <c r="G78" s="40" t="s">
        <v>144</v>
      </c>
      <c r="H78" s="39" t="s">
        <v>38</v>
      </c>
    </row>
    <row r="79" spans="1:8" ht="15.75" customHeight="1">
      <c r="A79" s="67"/>
      <c r="B79" s="67"/>
      <c r="C79" s="67"/>
      <c r="E79" s="67"/>
      <c r="F79" s="39" t="s">
        <v>36</v>
      </c>
      <c r="G79" s="40" t="s">
        <v>145</v>
      </c>
      <c r="H79" s="39" t="s">
        <v>38</v>
      </c>
    </row>
    <row r="80" spans="1:8" ht="15.75" customHeight="1">
      <c r="A80" s="67" t="s">
        <v>146</v>
      </c>
      <c r="B80" s="67" t="s">
        <v>71</v>
      </c>
      <c r="C80" s="67" t="s">
        <v>130</v>
      </c>
      <c r="E80" s="67" t="s">
        <v>32</v>
      </c>
      <c r="F80" s="39" t="s">
        <v>50</v>
      </c>
      <c r="G80" s="40" t="s">
        <v>147</v>
      </c>
      <c r="H80" s="39" t="s">
        <v>20</v>
      </c>
    </row>
    <row r="81" spans="1:9" ht="15.75" customHeight="1">
      <c r="A81" s="67"/>
      <c r="B81" s="67"/>
      <c r="C81" s="67"/>
      <c r="E81" s="67"/>
      <c r="F81" s="39" t="s">
        <v>32</v>
      </c>
      <c r="G81" s="40" t="s">
        <v>148</v>
      </c>
      <c r="H81" s="39" t="s">
        <v>38</v>
      </c>
    </row>
    <row r="82" spans="1:9" ht="15.75" customHeight="1">
      <c r="A82" s="67" t="s">
        <v>149</v>
      </c>
      <c r="B82" s="67" t="s">
        <v>150</v>
      </c>
      <c r="C82" s="67" t="s">
        <v>130</v>
      </c>
      <c r="E82" s="67" t="s">
        <v>36</v>
      </c>
      <c r="F82" s="39" t="s">
        <v>36</v>
      </c>
      <c r="G82" s="40" t="s">
        <v>151</v>
      </c>
      <c r="H82" s="39" t="s">
        <v>38</v>
      </c>
    </row>
    <row r="83" spans="1:9" ht="15.75" customHeight="1">
      <c r="A83" s="67"/>
      <c r="B83" s="67"/>
      <c r="C83" s="67"/>
      <c r="E83" s="67"/>
      <c r="F83" s="39" t="s">
        <v>152</v>
      </c>
      <c r="G83" s="40" t="s">
        <v>153</v>
      </c>
    </row>
    <row r="84" spans="1:9" ht="15.75" customHeight="1">
      <c r="A84" s="70" t="s">
        <v>109</v>
      </c>
      <c r="B84" s="70"/>
      <c r="C84" s="70"/>
      <c r="D84" s="70"/>
      <c r="E84" s="70"/>
      <c r="F84" s="70"/>
      <c r="G84" s="71"/>
      <c r="H84" s="70"/>
    </row>
    <row r="85" spans="1:9" ht="15.75" customHeight="1">
      <c r="A85" s="67" t="s">
        <v>154</v>
      </c>
      <c r="B85" s="67" t="s">
        <v>155</v>
      </c>
      <c r="C85" s="67" t="s">
        <v>156</v>
      </c>
      <c r="E85" s="67" t="s">
        <v>63</v>
      </c>
      <c r="F85" s="39" t="s">
        <v>50</v>
      </c>
      <c r="G85" s="40" t="s">
        <v>157</v>
      </c>
      <c r="I85" s="39" t="s">
        <v>158</v>
      </c>
    </row>
    <row r="86" spans="1:9" ht="15.75" customHeight="1">
      <c r="A86" s="67"/>
      <c r="B86" s="67"/>
      <c r="C86" s="67"/>
      <c r="E86" s="67"/>
      <c r="F86" s="39" t="s">
        <v>55</v>
      </c>
      <c r="G86" s="40" t="s">
        <v>159</v>
      </c>
      <c r="I86" s="39" t="s">
        <v>160</v>
      </c>
    </row>
    <row r="87" spans="1:9" ht="15.75" customHeight="1">
      <c r="A87" s="67"/>
      <c r="B87" s="67"/>
      <c r="C87" s="67"/>
      <c r="E87" s="67"/>
      <c r="F87" s="39" t="s">
        <v>63</v>
      </c>
      <c r="G87" s="40" t="s">
        <v>161</v>
      </c>
      <c r="H87" s="39" t="s">
        <v>38</v>
      </c>
    </row>
    <row r="88" spans="1:9" ht="15.75" customHeight="1">
      <c r="A88" s="67"/>
      <c r="B88" s="67"/>
      <c r="C88" s="67"/>
      <c r="E88" s="67"/>
      <c r="F88" s="39" t="s">
        <v>162</v>
      </c>
      <c r="G88" s="40" t="s">
        <v>163</v>
      </c>
    </row>
    <row r="89" spans="1:9" ht="15.75" customHeight="1">
      <c r="A89" s="67"/>
      <c r="B89" s="67"/>
      <c r="C89" s="67"/>
      <c r="E89" s="67"/>
      <c r="F89" s="39" t="s">
        <v>63</v>
      </c>
      <c r="G89" s="40" t="s">
        <v>164</v>
      </c>
    </row>
    <row r="90" spans="1:9" ht="15.75" customHeight="1">
      <c r="A90" s="67" t="s">
        <v>165</v>
      </c>
      <c r="B90" s="67" t="s">
        <v>71</v>
      </c>
      <c r="C90" s="67" t="s">
        <v>156</v>
      </c>
      <c r="E90" s="67" t="s">
        <v>32</v>
      </c>
      <c r="F90" s="39" t="s">
        <v>32</v>
      </c>
      <c r="G90" s="40" t="s">
        <v>166</v>
      </c>
    </row>
    <row r="91" spans="1:9" ht="15.75" customHeight="1">
      <c r="A91" s="67"/>
      <c r="B91" s="67"/>
      <c r="C91" s="67"/>
      <c r="E91" s="67"/>
      <c r="F91" s="39" t="s">
        <v>32</v>
      </c>
      <c r="G91" s="40" t="s">
        <v>167</v>
      </c>
    </row>
    <row r="92" spans="1:9" ht="15.75" customHeight="1">
      <c r="A92" s="67" t="s">
        <v>168</v>
      </c>
      <c r="B92" s="67" t="s">
        <v>169</v>
      </c>
      <c r="C92" s="67" t="s">
        <v>170</v>
      </c>
      <c r="E92" s="67" t="s">
        <v>32</v>
      </c>
      <c r="F92" s="39" t="s">
        <v>32</v>
      </c>
      <c r="G92" s="40" t="s">
        <v>171</v>
      </c>
      <c r="H92" s="39" t="s">
        <v>38</v>
      </c>
    </row>
    <row r="93" spans="1:9" ht="15.75" customHeight="1">
      <c r="A93" s="67"/>
      <c r="B93" s="67"/>
      <c r="C93" s="67"/>
      <c r="E93" s="67"/>
      <c r="F93" s="39" t="s">
        <v>172</v>
      </c>
      <c r="G93" s="40" t="s">
        <v>117</v>
      </c>
    </row>
    <row r="94" spans="1:9" ht="15.75" customHeight="1">
      <c r="A94" s="67"/>
      <c r="B94" s="67"/>
      <c r="C94" s="67"/>
      <c r="E94" s="67"/>
      <c r="F94" s="39" t="s">
        <v>32</v>
      </c>
      <c r="G94" s="40" t="s">
        <v>173</v>
      </c>
      <c r="H94" s="39" t="s">
        <v>38</v>
      </c>
    </row>
    <row r="95" spans="1:9" ht="15.75" customHeight="1">
      <c r="A95" s="67"/>
      <c r="B95" s="67"/>
      <c r="C95" s="67"/>
      <c r="E95" s="67"/>
      <c r="F95" s="39" t="s">
        <v>32</v>
      </c>
      <c r="G95" s="40" t="s">
        <v>174</v>
      </c>
      <c r="H95" s="39" t="s">
        <v>38</v>
      </c>
    </row>
    <row r="96" spans="1:9" ht="15.75" customHeight="1">
      <c r="A96" s="67"/>
      <c r="B96" s="67"/>
      <c r="C96" s="67"/>
      <c r="E96" s="67"/>
      <c r="F96" s="39" t="s">
        <v>32</v>
      </c>
      <c r="G96" s="40" t="s">
        <v>175</v>
      </c>
      <c r="H96" s="39" t="s">
        <v>38</v>
      </c>
    </row>
    <row r="97" spans="1:8" ht="15.75" customHeight="1">
      <c r="A97" s="67"/>
      <c r="B97" s="67"/>
      <c r="C97" s="67"/>
      <c r="E97" s="67"/>
      <c r="F97" s="39" t="s">
        <v>172</v>
      </c>
      <c r="G97" s="40" t="s">
        <v>176</v>
      </c>
    </row>
    <row r="98" spans="1:8" ht="15.75" customHeight="1">
      <c r="A98" s="67" t="s">
        <v>177</v>
      </c>
      <c r="B98" s="67" t="s">
        <v>178</v>
      </c>
      <c r="C98" s="67" t="s">
        <v>179</v>
      </c>
      <c r="E98" s="67" t="s">
        <v>12</v>
      </c>
      <c r="F98" s="39" t="s">
        <v>12</v>
      </c>
      <c r="G98" s="40" t="s">
        <v>180</v>
      </c>
      <c r="H98" s="39" t="s">
        <v>38</v>
      </c>
    </row>
    <row r="99" spans="1:8" ht="15.75" customHeight="1">
      <c r="A99" s="67"/>
      <c r="B99" s="67"/>
      <c r="C99" s="67"/>
      <c r="E99" s="67"/>
      <c r="F99" s="39" t="s">
        <v>12</v>
      </c>
      <c r="G99" s="40" t="s">
        <v>181</v>
      </c>
      <c r="H99" s="39" t="s">
        <v>38</v>
      </c>
    </row>
    <row r="100" spans="1:8" ht="15.75" customHeight="1">
      <c r="A100" s="67"/>
      <c r="B100" s="67"/>
      <c r="C100" s="67"/>
      <c r="E100" s="67"/>
      <c r="F100" s="39" t="s">
        <v>12</v>
      </c>
      <c r="G100" s="40" t="s">
        <v>182</v>
      </c>
      <c r="H100" s="39" t="s">
        <v>38</v>
      </c>
    </row>
    <row r="101" spans="1:8" ht="15.75" customHeight="1">
      <c r="A101" s="67" t="s">
        <v>183</v>
      </c>
      <c r="B101" s="67" t="s">
        <v>184</v>
      </c>
      <c r="C101" s="67" t="s">
        <v>179</v>
      </c>
      <c r="E101" s="67" t="s">
        <v>63</v>
      </c>
      <c r="F101" s="39" t="s">
        <v>63</v>
      </c>
      <c r="G101" s="40" t="s">
        <v>185</v>
      </c>
      <c r="H101" s="39" t="s">
        <v>38</v>
      </c>
    </row>
    <row r="102" spans="1:8" ht="15.75" customHeight="1">
      <c r="A102" s="67"/>
      <c r="B102" s="67"/>
      <c r="C102" s="67"/>
      <c r="E102" s="67"/>
      <c r="F102" s="39" t="s">
        <v>186</v>
      </c>
      <c r="G102" s="40" t="s">
        <v>187</v>
      </c>
      <c r="H102" s="39" t="s">
        <v>20</v>
      </c>
    </row>
    <row r="103" spans="1:8" ht="15.75" customHeight="1">
      <c r="A103" s="67"/>
      <c r="B103" s="67"/>
      <c r="C103" s="67"/>
      <c r="E103" s="67"/>
      <c r="F103" s="39" t="s">
        <v>186</v>
      </c>
      <c r="G103" s="40" t="s">
        <v>188</v>
      </c>
      <c r="H103" s="39" t="s">
        <v>20</v>
      </c>
    </row>
    <row r="104" spans="1:8" ht="15.75" customHeight="1">
      <c r="A104" s="67"/>
      <c r="B104" s="67"/>
      <c r="C104" s="67"/>
      <c r="E104" s="67"/>
      <c r="F104" s="39" t="s">
        <v>50</v>
      </c>
      <c r="G104" s="40" t="s">
        <v>189</v>
      </c>
    </row>
    <row r="105" spans="1:8" ht="15.75" customHeight="1">
      <c r="A105" s="67"/>
      <c r="B105" s="67"/>
      <c r="C105" s="67"/>
      <c r="E105" s="67"/>
      <c r="F105" s="39" t="s">
        <v>36</v>
      </c>
      <c r="G105" s="40" t="s">
        <v>190</v>
      </c>
    </row>
    <row r="106" spans="1:8" ht="15.75" customHeight="1">
      <c r="A106" s="67"/>
      <c r="B106" s="67"/>
      <c r="C106" s="67"/>
      <c r="E106" s="67"/>
      <c r="F106" s="39" t="s">
        <v>191</v>
      </c>
      <c r="G106" s="66" t="s">
        <v>192</v>
      </c>
    </row>
    <row r="107" spans="1:8" ht="15.75" customHeight="1">
      <c r="A107" s="67"/>
      <c r="B107" s="67"/>
      <c r="C107" s="67"/>
      <c r="E107" s="67"/>
      <c r="F107" s="39" t="s">
        <v>55</v>
      </c>
      <c r="G107" s="66"/>
    </row>
    <row r="108" spans="1:8" ht="15.75" customHeight="1">
      <c r="A108" s="67"/>
      <c r="B108" s="67"/>
      <c r="C108" s="67"/>
      <c r="E108" s="67"/>
      <c r="F108" s="39" t="s">
        <v>50</v>
      </c>
      <c r="G108" s="66"/>
    </row>
    <row r="109" spans="1:8" ht="15.75" customHeight="1">
      <c r="A109" s="67"/>
      <c r="B109" s="67"/>
      <c r="C109" s="67"/>
      <c r="E109" s="67"/>
      <c r="F109" s="39" t="s">
        <v>50</v>
      </c>
      <c r="G109" s="40" t="s">
        <v>193</v>
      </c>
    </row>
    <row r="110" spans="1:8" ht="15.75" customHeight="1">
      <c r="A110" s="67"/>
      <c r="B110" s="67"/>
      <c r="C110" s="67"/>
      <c r="E110" s="67"/>
      <c r="F110" s="39" t="s">
        <v>186</v>
      </c>
      <c r="G110" s="40" t="s">
        <v>194</v>
      </c>
    </row>
    <row r="111" spans="1:8" ht="15.75" customHeight="1">
      <c r="A111" s="67"/>
      <c r="B111" s="67"/>
      <c r="C111" s="67"/>
      <c r="E111" s="67"/>
      <c r="F111" s="39" t="s">
        <v>63</v>
      </c>
      <c r="G111" s="40" t="s">
        <v>195</v>
      </c>
      <c r="H111" s="39" t="s">
        <v>20</v>
      </c>
    </row>
    <row r="112" spans="1:8" ht="28.5" customHeight="1">
      <c r="A112" s="39" t="s">
        <v>196</v>
      </c>
      <c r="B112" s="39" t="s">
        <v>197</v>
      </c>
      <c r="C112" s="39" t="s">
        <v>198</v>
      </c>
      <c r="E112" s="39" t="s">
        <v>12</v>
      </c>
      <c r="F112" s="39" t="s">
        <v>12</v>
      </c>
      <c r="G112" s="40" t="s">
        <v>199</v>
      </c>
    </row>
    <row r="113" spans="1:7" ht="15.75" customHeight="1">
      <c r="F113" s="39" t="s">
        <v>12</v>
      </c>
      <c r="G113" s="40" t="s">
        <v>200</v>
      </c>
    </row>
    <row r="114" spans="1:7" ht="15.75" customHeight="1">
      <c r="F114" s="39" t="s">
        <v>12</v>
      </c>
      <c r="G114" s="40" t="s">
        <v>201</v>
      </c>
    </row>
    <row r="115" spans="1:7" ht="15.75" customHeight="1">
      <c r="F115" s="39" t="s">
        <v>202</v>
      </c>
      <c r="G115" s="40" t="s">
        <v>203</v>
      </c>
    </row>
    <row r="116" spans="1:7" ht="15.75" customHeight="1">
      <c r="A116" s="39" t="s">
        <v>204</v>
      </c>
      <c r="B116" s="39" t="s">
        <v>205</v>
      </c>
      <c r="C116" s="39" t="s">
        <v>198</v>
      </c>
      <c r="E116" s="39" t="s">
        <v>50</v>
      </c>
      <c r="F116" s="39" t="s">
        <v>81</v>
      </c>
      <c r="G116" s="40" t="s">
        <v>206</v>
      </c>
    </row>
    <row r="117" spans="1:7" ht="15.75" customHeight="1">
      <c r="A117" s="67" t="s">
        <v>207</v>
      </c>
      <c r="B117" s="67" t="s">
        <v>208</v>
      </c>
      <c r="C117" s="67" t="s">
        <v>209</v>
      </c>
      <c r="E117" s="67" t="s">
        <v>66</v>
      </c>
      <c r="F117" s="39" t="s">
        <v>66</v>
      </c>
      <c r="G117" s="44" t="s">
        <v>210</v>
      </c>
    </row>
    <row r="118" spans="1:7" ht="15.75" customHeight="1">
      <c r="A118" s="67"/>
      <c r="B118" s="67"/>
      <c r="C118" s="67"/>
      <c r="E118" s="67"/>
      <c r="F118" s="39" t="s">
        <v>55</v>
      </c>
      <c r="G118" s="44" t="s">
        <v>211</v>
      </c>
    </row>
    <row r="119" spans="1:7" ht="15.75" customHeight="1">
      <c r="A119" s="67" t="s">
        <v>212</v>
      </c>
      <c r="B119" s="67" t="s">
        <v>213</v>
      </c>
      <c r="C119" s="67" t="s">
        <v>209</v>
      </c>
      <c r="E119" s="67" t="s">
        <v>12</v>
      </c>
      <c r="F119" s="39" t="s">
        <v>12</v>
      </c>
      <c r="G119" s="44" t="s">
        <v>214</v>
      </c>
    </row>
    <row r="120" spans="1:7" ht="15.75" customHeight="1">
      <c r="A120" s="67"/>
      <c r="B120" s="67"/>
      <c r="C120" s="67"/>
      <c r="E120" s="67"/>
      <c r="F120" s="39" t="s">
        <v>55</v>
      </c>
      <c r="G120" s="44" t="s">
        <v>215</v>
      </c>
    </row>
    <row r="121" spans="1:7" ht="15.75" customHeight="1">
      <c r="A121" s="67" t="s">
        <v>216</v>
      </c>
      <c r="B121" s="67" t="s">
        <v>217</v>
      </c>
      <c r="C121" s="67" t="s">
        <v>209</v>
      </c>
      <c r="E121" s="67" t="s">
        <v>12</v>
      </c>
      <c r="F121" s="39" t="s">
        <v>218</v>
      </c>
      <c r="G121" s="40" t="s">
        <v>219</v>
      </c>
    </row>
    <row r="122" spans="1:7" ht="15.75" customHeight="1">
      <c r="A122" s="67"/>
      <c r="B122" s="67"/>
      <c r="C122" s="67"/>
      <c r="E122" s="67"/>
      <c r="F122" s="39" t="s">
        <v>12</v>
      </c>
      <c r="G122" s="40" t="s">
        <v>220</v>
      </c>
    </row>
    <row r="123" spans="1:7" ht="15.75" customHeight="1">
      <c r="A123" s="67"/>
      <c r="B123" s="67"/>
      <c r="C123" s="67"/>
      <c r="E123" s="67"/>
      <c r="F123" s="39" t="s">
        <v>172</v>
      </c>
      <c r="G123" s="40" t="s">
        <v>221</v>
      </c>
    </row>
    <row r="124" spans="1:7" ht="15.75" customHeight="1">
      <c r="A124" s="39" t="s">
        <v>222</v>
      </c>
      <c r="B124" s="39" t="s">
        <v>223</v>
      </c>
      <c r="C124" s="39" t="s">
        <v>209</v>
      </c>
      <c r="E124" s="39" t="s">
        <v>25</v>
      </c>
      <c r="F124" s="39" t="s">
        <v>25</v>
      </c>
      <c r="G124" s="40" t="s">
        <v>224</v>
      </c>
    </row>
    <row r="125" spans="1:7" ht="15.75" customHeight="1">
      <c r="A125" s="39" t="s">
        <v>225</v>
      </c>
      <c r="B125" s="39" t="s">
        <v>226</v>
      </c>
      <c r="C125" s="39" t="s">
        <v>227</v>
      </c>
      <c r="E125" s="39" t="s">
        <v>55</v>
      </c>
      <c r="F125" s="39" t="s">
        <v>228</v>
      </c>
      <c r="G125" s="40" t="s">
        <v>229</v>
      </c>
    </row>
    <row r="126" spans="1:7" ht="15.75" customHeight="1">
      <c r="A126" s="67" t="s">
        <v>230</v>
      </c>
      <c r="B126" s="67" t="s">
        <v>231</v>
      </c>
      <c r="C126" s="67" t="s">
        <v>227</v>
      </c>
      <c r="E126" s="67" t="s">
        <v>12</v>
      </c>
      <c r="F126" s="39" t="s">
        <v>12</v>
      </c>
      <c r="G126" s="40" t="s">
        <v>232</v>
      </c>
    </row>
    <row r="127" spans="1:7" ht="15.75" customHeight="1">
      <c r="A127" s="67"/>
      <c r="B127" s="67"/>
      <c r="C127" s="67"/>
      <c r="E127" s="67"/>
      <c r="F127" s="39" t="s">
        <v>12</v>
      </c>
      <c r="G127" s="40" t="s">
        <v>233</v>
      </c>
    </row>
    <row r="128" spans="1:7" ht="15.75" customHeight="1">
      <c r="A128" s="67"/>
      <c r="B128" s="67"/>
      <c r="C128" s="67"/>
      <c r="E128" s="67"/>
      <c r="F128" s="39" t="s">
        <v>218</v>
      </c>
      <c r="G128" s="40" t="s">
        <v>219</v>
      </c>
    </row>
    <row r="129" spans="1:7" ht="15.75" customHeight="1">
      <c r="A129" s="67"/>
      <c r="B129" s="67"/>
      <c r="C129" s="67"/>
      <c r="E129" s="67"/>
      <c r="F129" s="39" t="s">
        <v>12</v>
      </c>
      <c r="G129" s="40" t="s">
        <v>234</v>
      </c>
    </row>
    <row r="130" spans="1:7" ht="15.75" customHeight="1">
      <c r="A130" s="67"/>
      <c r="B130" s="67"/>
      <c r="C130" s="67"/>
      <c r="E130" s="67"/>
      <c r="F130" s="39" t="s">
        <v>12</v>
      </c>
      <c r="G130" s="40" t="s">
        <v>182</v>
      </c>
    </row>
    <row r="131" spans="1:7" ht="15.75" customHeight="1">
      <c r="A131" s="67"/>
      <c r="B131" s="67"/>
      <c r="C131" s="67"/>
      <c r="E131" s="67"/>
      <c r="F131" s="39" t="s">
        <v>12</v>
      </c>
      <c r="G131" s="40" t="s">
        <v>220</v>
      </c>
    </row>
    <row r="132" spans="1:7" ht="15.75" customHeight="1">
      <c r="A132" s="67" t="s">
        <v>235</v>
      </c>
      <c r="B132" s="67" t="s">
        <v>236</v>
      </c>
      <c r="C132" s="67" t="s">
        <v>227</v>
      </c>
      <c r="E132" s="67" t="s">
        <v>12</v>
      </c>
      <c r="F132" s="39" t="s">
        <v>12</v>
      </c>
      <c r="G132" s="40" t="s">
        <v>237</v>
      </c>
    </row>
    <row r="133" spans="1:7" ht="15.75" customHeight="1">
      <c r="A133" s="67"/>
      <c r="B133" s="67"/>
      <c r="C133" s="67"/>
      <c r="E133" s="67"/>
      <c r="F133" s="39" t="s">
        <v>12</v>
      </c>
      <c r="G133" s="40" t="s">
        <v>238</v>
      </c>
    </row>
    <row r="134" spans="1:7" ht="15.75" customHeight="1">
      <c r="A134" s="67"/>
      <c r="B134" s="67"/>
      <c r="C134" s="67"/>
      <c r="E134" s="67"/>
      <c r="F134" s="39" t="s">
        <v>12</v>
      </c>
      <c r="G134" s="40" t="s">
        <v>232</v>
      </c>
    </row>
    <row r="135" spans="1:7" ht="15.75" customHeight="1">
      <c r="A135" s="67"/>
      <c r="B135" s="67"/>
      <c r="C135" s="67"/>
      <c r="E135" s="67"/>
      <c r="F135" s="39" t="s">
        <v>12</v>
      </c>
      <c r="G135" s="40" t="s">
        <v>239</v>
      </c>
    </row>
    <row r="136" spans="1:7" ht="15.75" customHeight="1">
      <c r="A136" s="67"/>
      <c r="B136" s="67"/>
      <c r="C136" s="67"/>
      <c r="E136" s="67"/>
      <c r="F136" s="39" t="s">
        <v>12</v>
      </c>
      <c r="G136" s="40" t="s">
        <v>240</v>
      </c>
    </row>
    <row r="137" spans="1:7" ht="15.75" customHeight="1">
      <c r="A137" s="67"/>
      <c r="B137" s="67"/>
      <c r="C137" s="67"/>
      <c r="E137" s="67"/>
      <c r="F137" s="39" t="s">
        <v>172</v>
      </c>
      <c r="G137" s="40" t="s">
        <v>241</v>
      </c>
    </row>
    <row r="138" spans="1:7" ht="15.75" customHeight="1">
      <c r="A138" s="67"/>
      <c r="B138" s="67"/>
      <c r="C138" s="67"/>
      <c r="E138" s="67"/>
      <c r="F138" s="39" t="s">
        <v>172</v>
      </c>
      <c r="G138" s="40" t="s">
        <v>219</v>
      </c>
    </row>
    <row r="139" spans="1:7" ht="15.75" customHeight="1">
      <c r="A139" s="67"/>
      <c r="B139" s="67"/>
      <c r="C139" s="67"/>
      <c r="E139" s="67"/>
      <c r="F139" s="39" t="s">
        <v>12</v>
      </c>
      <c r="G139" s="40" t="s">
        <v>242</v>
      </c>
    </row>
    <row r="140" spans="1:7" ht="15.75" customHeight="1">
      <c r="A140" s="39" t="s">
        <v>243</v>
      </c>
      <c r="B140" s="39" t="s">
        <v>244</v>
      </c>
      <c r="C140" s="39" t="s">
        <v>245</v>
      </c>
      <c r="F140" s="39" t="s">
        <v>66</v>
      </c>
      <c r="G140" s="40" t="s">
        <v>246</v>
      </c>
    </row>
    <row r="141" spans="1:7" ht="15.75" customHeight="1">
      <c r="F141" s="39" t="s">
        <v>66</v>
      </c>
      <c r="G141" s="40" t="s">
        <v>247</v>
      </c>
    </row>
    <row r="142" spans="1:7" ht="15.75" customHeight="1">
      <c r="A142" s="67" t="s">
        <v>248</v>
      </c>
      <c r="B142" s="67"/>
      <c r="C142" s="67" t="s">
        <v>249</v>
      </c>
      <c r="E142" s="67" t="s">
        <v>12</v>
      </c>
      <c r="F142" s="39" t="s">
        <v>12</v>
      </c>
      <c r="G142" s="40" t="s">
        <v>250</v>
      </c>
    </row>
    <row r="143" spans="1:7" ht="15.75" customHeight="1">
      <c r="A143" s="67"/>
      <c r="B143" s="67"/>
      <c r="C143" s="67"/>
      <c r="E143" s="67"/>
      <c r="F143" s="39" t="s">
        <v>251</v>
      </c>
      <c r="G143" s="40" t="s">
        <v>252</v>
      </c>
    </row>
    <row r="144" spans="1:7" ht="15.75" customHeight="1">
      <c r="A144" s="67"/>
      <c r="B144" s="67"/>
      <c r="C144" s="67"/>
      <c r="E144" s="67"/>
      <c r="F144" s="39" t="s">
        <v>253</v>
      </c>
      <c r="G144" s="40" t="s">
        <v>254</v>
      </c>
    </row>
    <row r="145" spans="1:9" ht="15.75" customHeight="1">
      <c r="A145" s="67"/>
      <c r="B145" s="67"/>
      <c r="C145" s="67"/>
      <c r="E145" s="67"/>
      <c r="F145" s="39" t="s">
        <v>12</v>
      </c>
      <c r="G145" s="40" t="s">
        <v>255</v>
      </c>
    </row>
    <row r="146" spans="1:9" ht="15.75" customHeight="1">
      <c r="A146" s="67" t="s">
        <v>256</v>
      </c>
      <c r="B146" s="67" t="s">
        <v>257</v>
      </c>
      <c r="C146" s="67" t="s">
        <v>258</v>
      </c>
      <c r="E146" s="67" t="s">
        <v>26</v>
      </c>
      <c r="F146" s="39" t="s">
        <v>26</v>
      </c>
      <c r="G146" s="40" t="s">
        <v>259</v>
      </c>
    </row>
    <row r="147" spans="1:9" ht="15.75" customHeight="1">
      <c r="A147" s="67"/>
      <c r="B147" s="67"/>
      <c r="C147" s="67"/>
      <c r="E147" s="67"/>
      <c r="F147" s="39" t="s">
        <v>26</v>
      </c>
      <c r="G147" s="40" t="s">
        <v>260</v>
      </c>
    </row>
    <row r="148" spans="1:9" ht="15.75" customHeight="1">
      <c r="A148" s="67"/>
      <c r="B148" s="67"/>
      <c r="C148" s="67"/>
      <c r="E148" s="67"/>
      <c r="F148" s="39" t="s">
        <v>253</v>
      </c>
      <c r="G148" s="44" t="s">
        <v>261</v>
      </c>
      <c r="I148" s="43" t="s">
        <v>262</v>
      </c>
    </row>
    <row r="149" spans="1:9" ht="15.75" customHeight="1">
      <c r="A149" s="67" t="s">
        <v>263</v>
      </c>
      <c r="B149" s="67" t="s">
        <v>264</v>
      </c>
      <c r="C149" s="67" t="s">
        <v>258</v>
      </c>
      <c r="E149" s="67" t="s">
        <v>50</v>
      </c>
      <c r="F149" s="39" t="s">
        <v>55</v>
      </c>
      <c r="G149" s="40" t="s">
        <v>265</v>
      </c>
    </row>
    <row r="150" spans="1:9" ht="15.75" customHeight="1">
      <c r="A150" s="67"/>
      <c r="B150" s="67"/>
      <c r="C150" s="67"/>
      <c r="E150" s="67"/>
      <c r="F150" s="39" t="s">
        <v>50</v>
      </c>
      <c r="G150" s="44" t="s">
        <v>266</v>
      </c>
    </row>
    <row r="151" spans="1:9" ht="15.75" customHeight="1">
      <c r="A151" s="67"/>
      <c r="B151" s="67"/>
      <c r="C151" s="67"/>
      <c r="E151" s="67"/>
      <c r="F151" s="39" t="s">
        <v>50</v>
      </c>
      <c r="G151" s="40" t="s">
        <v>267</v>
      </c>
    </row>
    <row r="152" spans="1:9" ht="15.75" customHeight="1">
      <c r="A152" s="67"/>
      <c r="B152" s="67"/>
      <c r="C152" s="67"/>
      <c r="E152" s="67"/>
      <c r="F152" s="39" t="s">
        <v>50</v>
      </c>
      <c r="G152" s="40" t="s">
        <v>268</v>
      </c>
    </row>
    <row r="153" spans="1:9" ht="15.75" customHeight="1">
      <c r="A153" s="67"/>
      <c r="B153" s="67"/>
      <c r="C153" s="67"/>
      <c r="E153" s="67"/>
      <c r="F153" s="39" t="s">
        <v>269</v>
      </c>
      <c r="G153" s="40" t="s">
        <v>270</v>
      </c>
    </row>
    <row r="154" spans="1:9" ht="15.75" customHeight="1">
      <c r="A154" s="67" t="s">
        <v>271</v>
      </c>
      <c r="B154" s="67" t="s">
        <v>272</v>
      </c>
      <c r="C154" s="67" t="s">
        <v>258</v>
      </c>
      <c r="E154" s="67" t="s">
        <v>12</v>
      </c>
      <c r="F154" s="39" t="s">
        <v>12</v>
      </c>
      <c r="G154" s="40" t="s">
        <v>273</v>
      </c>
    </row>
    <row r="155" spans="1:9" ht="15.75" customHeight="1">
      <c r="A155" s="67"/>
      <c r="B155" s="67"/>
      <c r="C155" s="67"/>
      <c r="E155" s="67"/>
      <c r="F155" s="39" t="s">
        <v>12</v>
      </c>
      <c r="G155" s="40" t="s">
        <v>274</v>
      </c>
    </row>
    <row r="156" spans="1:9" ht="15.75" customHeight="1">
      <c r="A156" s="67"/>
      <c r="B156" s="67"/>
      <c r="C156" s="67"/>
      <c r="E156" s="67"/>
      <c r="F156" s="39" t="s">
        <v>12</v>
      </c>
      <c r="G156" s="40" t="s">
        <v>237</v>
      </c>
    </row>
    <row r="157" spans="1:9" ht="15.75" customHeight="1">
      <c r="A157" s="67"/>
      <c r="B157" s="67"/>
      <c r="C157" s="67"/>
      <c r="E157" s="67"/>
      <c r="F157" s="39" t="s">
        <v>12</v>
      </c>
      <c r="G157" s="40" t="s">
        <v>275</v>
      </c>
    </row>
    <row r="158" spans="1:9" ht="15.75" customHeight="1">
      <c r="A158" s="67" t="s">
        <v>276</v>
      </c>
      <c r="B158" s="67" t="s">
        <v>272</v>
      </c>
      <c r="C158" s="67" t="s">
        <v>258</v>
      </c>
      <c r="E158" s="67" t="s">
        <v>12</v>
      </c>
      <c r="F158" s="39" t="s">
        <v>12</v>
      </c>
      <c r="G158" s="40" t="s">
        <v>273</v>
      </c>
    </row>
    <row r="159" spans="1:9" ht="15.75" customHeight="1">
      <c r="A159" s="67"/>
      <c r="B159" s="67"/>
      <c r="C159" s="67"/>
      <c r="E159" s="67"/>
      <c r="F159" s="39" t="s">
        <v>12</v>
      </c>
      <c r="G159" s="40" t="s">
        <v>274</v>
      </c>
    </row>
    <row r="160" spans="1:9" ht="15.75" customHeight="1">
      <c r="A160" s="67"/>
      <c r="B160" s="67"/>
      <c r="C160" s="67"/>
      <c r="E160" s="67"/>
      <c r="F160" s="39" t="s">
        <v>12</v>
      </c>
      <c r="G160" s="40" t="s">
        <v>277</v>
      </c>
    </row>
    <row r="161" spans="1:9" ht="16.5" customHeight="1">
      <c r="A161" s="67"/>
      <c r="B161" s="67"/>
      <c r="C161" s="67"/>
      <c r="E161" s="67"/>
    </row>
    <row r="162" spans="1:9" ht="15.75" customHeight="1">
      <c r="A162" s="67" t="s">
        <v>278</v>
      </c>
      <c r="B162" s="67" t="s">
        <v>279</v>
      </c>
      <c r="C162" s="67" t="s">
        <v>280</v>
      </c>
      <c r="E162" s="67" t="s">
        <v>36</v>
      </c>
      <c r="F162" s="39" t="s">
        <v>36</v>
      </c>
      <c r="G162" s="40" t="s">
        <v>281</v>
      </c>
    </row>
    <row r="163" spans="1:9" ht="15.75" customHeight="1">
      <c r="A163" s="67"/>
      <c r="B163" s="67"/>
      <c r="C163" s="67"/>
      <c r="E163" s="67"/>
      <c r="F163" s="39" t="s">
        <v>36</v>
      </c>
      <c r="G163" s="40" t="s">
        <v>282</v>
      </c>
    </row>
    <row r="164" spans="1:9" ht="15.75" customHeight="1">
      <c r="A164" s="67"/>
      <c r="B164" s="67"/>
      <c r="C164" s="67"/>
      <c r="E164" s="67"/>
      <c r="F164" s="39" t="s">
        <v>107</v>
      </c>
      <c r="G164" s="40" t="s">
        <v>283</v>
      </c>
    </row>
    <row r="165" spans="1:9" ht="15.75" customHeight="1">
      <c r="A165" s="67" t="s">
        <v>284</v>
      </c>
      <c r="B165" s="67" t="s">
        <v>285</v>
      </c>
      <c r="C165" s="67" t="s">
        <v>280</v>
      </c>
      <c r="E165" s="67" t="s">
        <v>12</v>
      </c>
      <c r="F165" s="39" t="s">
        <v>172</v>
      </c>
      <c r="G165" s="40" t="s">
        <v>286</v>
      </c>
    </row>
    <row r="166" spans="1:9" ht="15.75" customHeight="1">
      <c r="A166" s="67"/>
      <c r="B166" s="67"/>
      <c r="C166" s="67"/>
      <c r="E166" s="67"/>
      <c r="G166" s="40" t="s">
        <v>287</v>
      </c>
    </row>
    <row r="167" spans="1:9" ht="15.75" customHeight="1">
      <c r="A167" s="39" t="s">
        <v>288</v>
      </c>
      <c r="B167" s="39" t="s">
        <v>289</v>
      </c>
      <c r="C167" s="39" t="s">
        <v>290</v>
      </c>
      <c r="F167" s="39" t="s">
        <v>40</v>
      </c>
      <c r="G167" s="40" t="s">
        <v>42</v>
      </c>
    </row>
    <row r="168" spans="1:9" ht="15.75" customHeight="1">
      <c r="A168" s="39" t="s">
        <v>291</v>
      </c>
      <c r="C168" s="39" t="s">
        <v>292</v>
      </c>
      <c r="D168" s="46"/>
      <c r="E168" s="46"/>
      <c r="F168" s="39" t="s">
        <v>253</v>
      </c>
      <c r="G168" s="40" t="s">
        <v>293</v>
      </c>
      <c r="H168" s="46"/>
      <c r="I168" s="46"/>
    </row>
    <row r="169" spans="1:9" ht="15.75" customHeight="1">
      <c r="A169" s="39" t="s">
        <v>294</v>
      </c>
      <c r="B169" s="39" t="s">
        <v>295</v>
      </c>
      <c r="C169" s="39" t="s">
        <v>296</v>
      </c>
      <c r="E169" s="39" t="s">
        <v>36</v>
      </c>
      <c r="F169" s="39" t="s">
        <v>36</v>
      </c>
      <c r="G169" s="40" t="s">
        <v>297</v>
      </c>
      <c r="H169" s="46"/>
      <c r="I169" s="46"/>
    </row>
    <row r="170" spans="1:9" ht="16.5" customHeight="1">
      <c r="A170" s="46"/>
      <c r="B170" s="46"/>
      <c r="C170" s="46"/>
      <c r="D170" s="46"/>
      <c r="E170" s="46"/>
      <c r="F170" s="46"/>
      <c r="G170" s="47"/>
      <c r="H170" s="46"/>
      <c r="I170" s="46"/>
    </row>
    <row r="171" spans="1:9" ht="16.5" customHeight="1">
      <c r="A171" s="46"/>
      <c r="B171" s="46"/>
      <c r="C171" s="46"/>
      <c r="D171" s="46"/>
      <c r="E171" s="46"/>
      <c r="F171" s="46"/>
      <c r="G171" s="47"/>
      <c r="H171" s="46"/>
      <c r="I171" s="46"/>
    </row>
    <row r="172" spans="1:9" ht="15.75" customHeight="1">
      <c r="A172" s="39" t="s">
        <v>298</v>
      </c>
      <c r="B172" s="39" t="s">
        <v>299</v>
      </c>
      <c r="C172" s="39" t="s">
        <v>300</v>
      </c>
      <c r="E172" s="39" t="s">
        <v>55</v>
      </c>
      <c r="F172" s="39" t="s">
        <v>301</v>
      </c>
      <c r="G172" s="40" t="s">
        <v>302</v>
      </c>
      <c r="H172" s="46"/>
      <c r="I172" s="46"/>
    </row>
    <row r="173" spans="1:9" ht="15.75" customHeight="1">
      <c r="A173" s="46"/>
      <c r="B173" s="46"/>
      <c r="C173" s="46"/>
      <c r="D173" s="46"/>
      <c r="E173" s="46"/>
      <c r="F173" s="39" t="s">
        <v>55</v>
      </c>
      <c r="G173" s="40" t="s">
        <v>303</v>
      </c>
      <c r="H173" s="46"/>
      <c r="I173" s="46"/>
    </row>
    <row r="174" spans="1:9" ht="15.75" customHeight="1">
      <c r="A174" s="46"/>
      <c r="B174" s="46"/>
      <c r="C174" s="46"/>
      <c r="D174" s="46"/>
      <c r="E174" s="46"/>
      <c r="F174" s="39" t="s">
        <v>55</v>
      </c>
      <c r="G174" s="40" t="s">
        <v>304</v>
      </c>
      <c r="H174" s="46"/>
      <c r="I174" s="46"/>
    </row>
    <row r="175" spans="1:9" ht="15.75" customHeight="1">
      <c r="A175" s="39" t="s">
        <v>305</v>
      </c>
      <c r="B175" s="39" t="s">
        <v>306</v>
      </c>
      <c r="C175" s="39" t="s">
        <v>307</v>
      </c>
      <c r="E175" s="39" t="s">
        <v>63</v>
      </c>
      <c r="F175" s="39" t="s">
        <v>308</v>
      </c>
      <c r="G175" s="40" t="s">
        <v>309</v>
      </c>
      <c r="H175" s="46"/>
      <c r="I175" s="46"/>
    </row>
    <row r="176" spans="1:9" ht="15.75" customHeight="1">
      <c r="A176" s="46"/>
      <c r="B176" s="46"/>
      <c r="C176" s="46"/>
      <c r="D176" s="46"/>
      <c r="E176" s="46"/>
      <c r="F176" s="39" t="s">
        <v>269</v>
      </c>
      <c r="G176" s="40" t="s">
        <v>310</v>
      </c>
      <c r="H176" s="46"/>
      <c r="I176" s="46"/>
    </row>
    <row r="177" spans="1:9" ht="15.75" customHeight="1">
      <c r="A177" s="46"/>
      <c r="B177" s="46"/>
      <c r="C177" s="46"/>
      <c r="D177" s="46"/>
      <c r="E177" s="46"/>
      <c r="F177" s="39" t="s">
        <v>63</v>
      </c>
      <c r="G177" s="40" t="s">
        <v>311</v>
      </c>
      <c r="H177" s="46"/>
      <c r="I177" s="46"/>
    </row>
    <row r="178" spans="1:9" ht="15.75" customHeight="1">
      <c r="A178" s="46"/>
      <c r="B178" s="46"/>
      <c r="C178" s="46"/>
      <c r="D178" s="46"/>
      <c r="E178" s="46"/>
      <c r="F178" s="39" t="s">
        <v>63</v>
      </c>
      <c r="G178" s="48" t="s">
        <v>312</v>
      </c>
      <c r="H178" s="46"/>
      <c r="I178" s="46"/>
    </row>
    <row r="179" spans="1:9" ht="15.75" customHeight="1">
      <c r="A179" s="67" t="s">
        <v>313</v>
      </c>
      <c r="B179" s="67" t="s">
        <v>314</v>
      </c>
      <c r="C179" s="67" t="s">
        <v>315</v>
      </c>
      <c r="E179" s="67" t="s">
        <v>12</v>
      </c>
      <c r="F179" s="39" t="s">
        <v>12</v>
      </c>
      <c r="G179" s="40" t="s">
        <v>316</v>
      </c>
      <c r="H179" s="46"/>
      <c r="I179" s="46"/>
    </row>
    <row r="180" spans="1:9" ht="15.75" customHeight="1">
      <c r="A180" s="67"/>
      <c r="B180" s="67"/>
      <c r="C180" s="67"/>
      <c r="E180" s="67"/>
      <c r="F180" s="39" t="s">
        <v>12</v>
      </c>
      <c r="G180" s="40" t="s">
        <v>317</v>
      </c>
      <c r="H180" s="46"/>
      <c r="I180" s="46"/>
    </row>
    <row r="181" spans="1:9" ht="15.75" customHeight="1">
      <c r="A181" s="67" t="s">
        <v>318</v>
      </c>
      <c r="B181" s="67" t="s">
        <v>244</v>
      </c>
      <c r="C181" s="67" t="s">
        <v>315</v>
      </c>
      <c r="E181" s="67" t="s">
        <v>63</v>
      </c>
      <c r="F181" s="39" t="s">
        <v>63</v>
      </c>
      <c r="G181" s="40" t="s">
        <v>319</v>
      </c>
      <c r="H181" s="46"/>
      <c r="I181" s="46"/>
    </row>
    <row r="182" spans="1:9" ht="15.75" customHeight="1">
      <c r="A182" s="67"/>
      <c r="B182" s="67"/>
      <c r="C182" s="67"/>
      <c r="E182" s="67"/>
      <c r="F182" s="39" t="s">
        <v>63</v>
      </c>
      <c r="G182" s="40" t="s">
        <v>320</v>
      </c>
      <c r="H182" s="46"/>
      <c r="I182" s="46"/>
    </row>
    <row r="183" spans="1:9" ht="15.75" customHeight="1">
      <c r="A183" s="39" t="s">
        <v>321</v>
      </c>
      <c r="B183" s="39" t="s">
        <v>322</v>
      </c>
      <c r="C183" s="39" t="s">
        <v>323</v>
      </c>
      <c r="E183" s="39" t="s">
        <v>50</v>
      </c>
      <c r="F183" s="39" t="s">
        <v>50</v>
      </c>
      <c r="G183" s="40" t="s">
        <v>324</v>
      </c>
      <c r="H183" s="46"/>
      <c r="I183" s="46"/>
    </row>
    <row r="184" spans="1:9" ht="15.75" customHeight="1">
      <c r="A184" s="46"/>
      <c r="B184" s="46"/>
      <c r="C184" s="46"/>
      <c r="D184" s="46"/>
      <c r="E184" s="46"/>
      <c r="F184" s="39" t="s">
        <v>50</v>
      </c>
      <c r="G184" s="40" t="s">
        <v>325</v>
      </c>
      <c r="H184" s="46"/>
      <c r="I184" s="46"/>
    </row>
    <row r="185" spans="1:9" ht="15.75" customHeight="1">
      <c r="A185" s="46"/>
      <c r="B185" s="46"/>
      <c r="C185" s="46"/>
      <c r="D185" s="46"/>
      <c r="E185" s="46"/>
      <c r="F185" s="39" t="s">
        <v>50</v>
      </c>
      <c r="G185" s="40" t="s">
        <v>326</v>
      </c>
      <c r="H185" s="46"/>
      <c r="I185" s="46"/>
    </row>
    <row r="186" spans="1:9" ht="15.75" customHeight="1">
      <c r="A186" s="39" t="s">
        <v>327</v>
      </c>
      <c r="B186" s="39" t="s">
        <v>328</v>
      </c>
      <c r="C186" s="39" t="s">
        <v>329</v>
      </c>
      <c r="E186" s="39" t="s">
        <v>25</v>
      </c>
      <c r="F186" s="39" t="s">
        <v>116</v>
      </c>
      <c r="G186" s="40" t="s">
        <v>330</v>
      </c>
      <c r="H186" s="46"/>
      <c r="I186" s="46"/>
    </row>
    <row r="187" spans="1:9" ht="15.75" customHeight="1">
      <c r="A187" s="39" t="s">
        <v>331</v>
      </c>
      <c r="B187" s="39" t="s">
        <v>332</v>
      </c>
      <c r="C187" s="39" t="s">
        <v>333</v>
      </c>
      <c r="E187" s="39" t="s">
        <v>36</v>
      </c>
      <c r="F187" s="39" t="s">
        <v>36</v>
      </c>
      <c r="G187" s="40" t="s">
        <v>334</v>
      </c>
      <c r="H187" s="46"/>
      <c r="I187" s="46"/>
    </row>
    <row r="188" spans="1:9" ht="15.75" customHeight="1">
      <c r="A188" s="46"/>
      <c r="B188" s="46"/>
      <c r="C188" s="46"/>
      <c r="D188" s="46"/>
      <c r="E188" s="46"/>
      <c r="F188" s="39" t="s">
        <v>36</v>
      </c>
      <c r="G188" s="40" t="s">
        <v>335</v>
      </c>
      <c r="H188" s="46"/>
      <c r="I188" s="46"/>
    </row>
    <row r="189" spans="1:9" ht="15.75" customHeight="1">
      <c r="A189" s="39" t="s">
        <v>336</v>
      </c>
      <c r="B189" s="39" t="s">
        <v>337</v>
      </c>
      <c r="C189" s="39" t="s">
        <v>338</v>
      </c>
      <c r="E189" s="39" t="s">
        <v>26</v>
      </c>
      <c r="F189" s="39" t="s">
        <v>26</v>
      </c>
      <c r="G189" s="40" t="s">
        <v>339</v>
      </c>
      <c r="H189" s="46"/>
      <c r="I189" s="46"/>
    </row>
    <row r="190" spans="1:9" ht="15.75" customHeight="1">
      <c r="A190" s="46"/>
      <c r="B190" s="46"/>
      <c r="C190" s="46"/>
      <c r="D190" s="46"/>
      <c r="E190" s="46"/>
      <c r="F190" s="39" t="s">
        <v>26</v>
      </c>
      <c r="G190" s="40" t="s">
        <v>340</v>
      </c>
      <c r="H190" s="46"/>
      <c r="I190" s="46"/>
    </row>
    <row r="191" spans="1:9" ht="15.75" customHeight="1">
      <c r="A191" s="39" t="s">
        <v>341</v>
      </c>
      <c r="B191" s="39" t="s">
        <v>342</v>
      </c>
      <c r="C191" s="39" t="s">
        <v>343</v>
      </c>
      <c r="E191" s="39" t="s">
        <v>344</v>
      </c>
      <c r="F191" s="39" t="s">
        <v>344</v>
      </c>
      <c r="G191" s="40" t="s">
        <v>345</v>
      </c>
      <c r="H191" s="46"/>
      <c r="I191" s="46"/>
    </row>
    <row r="192" spans="1:9" ht="15.75" customHeight="1">
      <c r="A192" s="46"/>
      <c r="B192" s="46"/>
      <c r="C192" s="46"/>
      <c r="D192" s="46"/>
      <c r="E192" s="46"/>
      <c r="F192" s="39" t="s">
        <v>346</v>
      </c>
      <c r="G192" s="40" t="s">
        <v>347</v>
      </c>
      <c r="H192" s="46"/>
      <c r="I192" s="46"/>
    </row>
    <row r="193" spans="1:9" ht="15.75" customHeight="1">
      <c r="A193" s="39" t="s">
        <v>348</v>
      </c>
      <c r="B193" s="39" t="s">
        <v>349</v>
      </c>
      <c r="C193" s="39" t="s">
        <v>350</v>
      </c>
      <c r="E193" s="39" t="s">
        <v>32</v>
      </c>
      <c r="F193" s="39" t="s">
        <v>137</v>
      </c>
      <c r="G193" s="40" t="s">
        <v>351</v>
      </c>
      <c r="H193" s="46"/>
      <c r="I193" s="46"/>
    </row>
    <row r="194" spans="1:9" ht="15.75" customHeight="1">
      <c r="A194" s="46"/>
      <c r="B194" s="46"/>
      <c r="C194" s="46"/>
      <c r="D194" s="46"/>
      <c r="E194" s="46"/>
      <c r="F194" s="39" t="s">
        <v>32</v>
      </c>
      <c r="G194" s="40" t="s">
        <v>352</v>
      </c>
      <c r="H194" s="46"/>
      <c r="I194" s="46"/>
    </row>
    <row r="195" spans="1:9" ht="15.75" customHeight="1">
      <c r="A195" s="67" t="s">
        <v>353</v>
      </c>
      <c r="B195" s="67" t="s">
        <v>354</v>
      </c>
      <c r="C195" s="67" t="s">
        <v>355</v>
      </c>
      <c r="E195" s="67" t="s">
        <v>26</v>
      </c>
      <c r="F195" s="39" t="s">
        <v>18</v>
      </c>
      <c r="G195" s="40" t="s">
        <v>356</v>
      </c>
      <c r="H195" s="46"/>
      <c r="I195" s="46"/>
    </row>
    <row r="196" spans="1:9" ht="15.75" customHeight="1">
      <c r="A196" s="68"/>
      <c r="B196" s="67"/>
      <c r="C196" s="68"/>
      <c r="D196" s="46"/>
      <c r="E196" s="68"/>
      <c r="F196" s="39" t="s">
        <v>18</v>
      </c>
      <c r="G196" s="40" t="s">
        <v>357</v>
      </c>
      <c r="H196" s="46"/>
      <c r="I196" s="46"/>
    </row>
    <row r="197" spans="1:9" ht="15.75" customHeight="1">
      <c r="A197" s="68"/>
      <c r="B197" s="68"/>
      <c r="C197" s="68"/>
      <c r="D197" s="46"/>
      <c r="E197" s="68"/>
      <c r="F197" s="39" t="s">
        <v>26</v>
      </c>
      <c r="G197" s="40" t="s">
        <v>358</v>
      </c>
      <c r="H197" s="46"/>
      <c r="I197" s="46"/>
    </row>
    <row r="198" spans="1:9" ht="15.75" customHeight="1">
      <c r="A198" s="68"/>
      <c r="B198" s="68"/>
      <c r="C198" s="68"/>
      <c r="D198" s="46"/>
      <c r="E198" s="68"/>
      <c r="F198" s="39" t="s">
        <v>26</v>
      </c>
      <c r="G198" s="40" t="s">
        <v>359</v>
      </c>
      <c r="H198" s="46"/>
      <c r="I198" s="46"/>
    </row>
    <row r="199" spans="1:9" ht="15.75" customHeight="1">
      <c r="A199" s="68"/>
      <c r="B199" s="68"/>
      <c r="C199" s="68"/>
      <c r="D199" s="46"/>
      <c r="E199" s="68"/>
      <c r="F199" s="39" t="s">
        <v>55</v>
      </c>
      <c r="G199" s="40" t="s">
        <v>360</v>
      </c>
      <c r="H199" s="46"/>
      <c r="I199" s="46"/>
    </row>
    <row r="200" spans="1:9" ht="15.75" customHeight="1">
      <c r="A200" s="68"/>
      <c r="B200" s="68"/>
      <c r="C200" s="68"/>
      <c r="D200" s="46"/>
      <c r="E200" s="68"/>
      <c r="F200" s="39" t="s">
        <v>18</v>
      </c>
      <c r="G200" s="40" t="s">
        <v>361</v>
      </c>
      <c r="H200" s="46"/>
      <c r="I200" s="46"/>
    </row>
    <row r="201" spans="1:9" ht="15.75" customHeight="1">
      <c r="A201" s="67" t="s">
        <v>362</v>
      </c>
      <c r="B201" s="67" t="s">
        <v>363</v>
      </c>
      <c r="C201" s="67" t="s">
        <v>364</v>
      </c>
      <c r="E201" s="67" t="s">
        <v>55</v>
      </c>
      <c r="F201" s="67" t="s">
        <v>55</v>
      </c>
      <c r="G201" s="40" t="s">
        <v>365</v>
      </c>
      <c r="H201" s="46"/>
      <c r="I201" s="46"/>
    </row>
    <row r="202" spans="1:9" ht="15.75" customHeight="1">
      <c r="A202" s="68"/>
      <c r="B202" s="68"/>
      <c r="C202" s="68"/>
      <c r="D202" s="46"/>
      <c r="E202" s="68"/>
      <c r="F202" s="68"/>
      <c r="G202" s="40" t="s">
        <v>366</v>
      </c>
      <c r="H202" s="46"/>
      <c r="I202" s="46"/>
    </row>
    <row r="203" spans="1:9" ht="15.75" customHeight="1">
      <c r="A203" s="39" t="s">
        <v>367</v>
      </c>
      <c r="B203" s="39" t="s">
        <v>368</v>
      </c>
      <c r="C203" s="39" t="s">
        <v>364</v>
      </c>
      <c r="E203" s="39" t="s">
        <v>12</v>
      </c>
      <c r="F203" s="39" t="s">
        <v>12</v>
      </c>
      <c r="G203" s="40" t="s">
        <v>369</v>
      </c>
      <c r="H203" s="46"/>
      <c r="I203" s="46"/>
    </row>
    <row r="204" spans="1:9" ht="24.75" customHeight="1">
      <c r="A204" s="46" t="s">
        <v>370</v>
      </c>
      <c r="B204" s="46" t="s">
        <v>371</v>
      </c>
      <c r="C204" s="46" t="s">
        <v>372</v>
      </c>
      <c r="D204" s="46"/>
      <c r="E204" s="46" t="s">
        <v>50</v>
      </c>
      <c r="F204" s="46" t="s">
        <v>50</v>
      </c>
      <c r="G204" s="47" t="s">
        <v>373</v>
      </c>
      <c r="H204" s="46"/>
      <c r="I204" s="46"/>
    </row>
    <row r="205" spans="1:9" ht="16.5" customHeight="1">
      <c r="A205" s="46"/>
      <c r="B205" s="46"/>
      <c r="C205" s="46"/>
      <c r="D205" s="46"/>
      <c r="E205" s="46"/>
      <c r="F205" s="46" t="s">
        <v>50</v>
      </c>
      <c r="G205" s="47" t="s">
        <v>374</v>
      </c>
      <c r="H205" s="46"/>
      <c r="I205" s="46"/>
    </row>
    <row r="206" spans="1:9" ht="16.5" customHeight="1">
      <c r="A206" s="46"/>
      <c r="B206" s="46"/>
      <c r="C206" s="46"/>
      <c r="D206" s="46"/>
      <c r="E206" s="46"/>
      <c r="F206" s="46" t="s">
        <v>36</v>
      </c>
      <c r="G206" s="47" t="s">
        <v>375</v>
      </c>
      <c r="H206" s="46"/>
      <c r="I206" s="46"/>
    </row>
    <row r="207" spans="1:9" ht="16.5" customHeight="1">
      <c r="A207" s="46"/>
      <c r="B207" s="46"/>
      <c r="C207" s="46"/>
      <c r="D207" s="46"/>
      <c r="E207" s="46"/>
      <c r="F207" s="46" t="s">
        <v>55</v>
      </c>
      <c r="G207" s="47" t="s">
        <v>376</v>
      </c>
      <c r="H207" s="46"/>
      <c r="I207" s="46"/>
    </row>
    <row r="208" spans="1:9" ht="16.5" customHeight="1">
      <c r="A208" s="46" t="s">
        <v>377</v>
      </c>
      <c r="B208" s="46" t="s">
        <v>378</v>
      </c>
      <c r="C208" s="46" t="s">
        <v>372</v>
      </c>
      <c r="D208" s="46"/>
      <c r="E208" s="46" t="s">
        <v>12</v>
      </c>
      <c r="F208" s="46" t="s">
        <v>25</v>
      </c>
      <c r="G208" s="47" t="s">
        <v>379</v>
      </c>
      <c r="H208" s="46"/>
      <c r="I208" s="46"/>
    </row>
    <row r="209" spans="1:9" ht="16.5" customHeight="1">
      <c r="A209" s="46"/>
      <c r="B209" s="46"/>
      <c r="C209" s="46"/>
      <c r="D209" s="46"/>
      <c r="E209" s="46"/>
      <c r="F209" s="46" t="s">
        <v>55</v>
      </c>
      <c r="G209" s="47" t="s">
        <v>376</v>
      </c>
      <c r="H209" s="46"/>
      <c r="I209" s="46"/>
    </row>
    <row r="210" spans="1:9" ht="16.5" customHeight="1">
      <c r="A210" s="68" t="s">
        <v>380</v>
      </c>
      <c r="B210" s="68" t="s">
        <v>381</v>
      </c>
      <c r="C210" s="68" t="s">
        <v>382</v>
      </c>
      <c r="D210" s="46"/>
      <c r="E210" s="68" t="s">
        <v>12</v>
      </c>
      <c r="F210" s="46" t="s">
        <v>63</v>
      </c>
      <c r="G210" s="47" t="s">
        <v>383</v>
      </c>
      <c r="H210" s="46"/>
      <c r="I210" s="46"/>
    </row>
    <row r="211" spans="1:9" ht="16.5" customHeight="1">
      <c r="A211" s="68"/>
      <c r="B211" s="68"/>
      <c r="C211" s="68"/>
      <c r="D211" s="46"/>
      <c r="E211" s="68"/>
      <c r="F211" s="46" t="s">
        <v>32</v>
      </c>
      <c r="G211" s="49" t="s">
        <v>384</v>
      </c>
      <c r="H211" s="46" t="s">
        <v>385</v>
      </c>
      <c r="I211" s="46"/>
    </row>
    <row r="212" spans="1:9" ht="16.5" customHeight="1">
      <c r="A212" s="68"/>
      <c r="B212" s="68"/>
      <c r="C212" s="68"/>
      <c r="D212" s="46"/>
      <c r="E212" s="68"/>
      <c r="F212" s="46" t="s">
        <v>32</v>
      </c>
      <c r="G212" s="47" t="s">
        <v>386</v>
      </c>
      <c r="H212" s="46"/>
      <c r="I212" s="46"/>
    </row>
    <row r="213" spans="1:9" ht="16.5" customHeight="1">
      <c r="A213" s="68"/>
      <c r="B213" s="68"/>
      <c r="C213" s="68"/>
      <c r="D213" s="46"/>
      <c r="E213" s="68"/>
      <c r="F213" s="46" t="s">
        <v>55</v>
      </c>
      <c r="G213" s="47" t="s">
        <v>387</v>
      </c>
      <c r="H213" s="46"/>
      <c r="I213" s="46"/>
    </row>
    <row r="214" spans="1:9" ht="16.5" customHeight="1">
      <c r="A214" s="69"/>
      <c r="B214" s="69"/>
      <c r="C214" s="69"/>
      <c r="D214" s="50"/>
      <c r="E214" s="69"/>
      <c r="F214" s="50" t="s">
        <v>36</v>
      </c>
      <c r="G214" s="51" t="s">
        <v>375</v>
      </c>
      <c r="H214" s="50"/>
      <c r="I214" s="46"/>
    </row>
    <row r="215" spans="1:9" ht="16.5" customHeight="1">
      <c r="A215" s="69"/>
      <c r="B215" s="69"/>
      <c r="C215" s="69"/>
      <c r="D215" s="50"/>
      <c r="E215" s="69"/>
      <c r="F215" s="50" t="s">
        <v>55</v>
      </c>
      <c r="G215" s="51" t="s">
        <v>388</v>
      </c>
      <c r="H215" s="50"/>
      <c r="I215" s="46"/>
    </row>
    <row r="216" spans="1:9" ht="16.5" customHeight="1">
      <c r="A216" s="50" t="s">
        <v>389</v>
      </c>
      <c r="B216" s="50" t="s">
        <v>390</v>
      </c>
      <c r="C216" s="50" t="s">
        <v>382</v>
      </c>
      <c r="D216" s="50"/>
      <c r="E216" s="50" t="s">
        <v>18</v>
      </c>
      <c r="F216" s="50" t="s">
        <v>18</v>
      </c>
      <c r="G216" s="51" t="s">
        <v>391</v>
      </c>
      <c r="H216" s="50"/>
      <c r="I216" s="46"/>
    </row>
    <row r="217" spans="1:9" ht="16.5" customHeight="1">
      <c r="A217" s="50"/>
      <c r="B217" s="50"/>
      <c r="C217" s="50"/>
      <c r="D217" s="50"/>
      <c r="E217" s="50"/>
      <c r="F217" s="50" t="s">
        <v>18</v>
      </c>
      <c r="G217" s="51" t="s">
        <v>392</v>
      </c>
      <c r="H217" s="50"/>
      <c r="I217" s="46"/>
    </row>
    <row r="218" spans="1:9" ht="16.5" customHeight="1">
      <c r="A218" s="50" t="s">
        <v>393</v>
      </c>
      <c r="B218" s="50" t="s">
        <v>394</v>
      </c>
      <c r="C218" s="50" t="s">
        <v>382</v>
      </c>
      <c r="D218" s="50"/>
      <c r="E218" s="50" t="s">
        <v>32</v>
      </c>
      <c r="F218" s="50" t="s">
        <v>55</v>
      </c>
      <c r="G218" s="51" t="s">
        <v>395</v>
      </c>
      <c r="H218" s="50"/>
      <c r="I218" s="46"/>
    </row>
    <row r="219" spans="1:9" ht="16.5" customHeight="1">
      <c r="A219" s="50" t="s">
        <v>396</v>
      </c>
      <c r="B219" s="50" t="s">
        <v>397</v>
      </c>
      <c r="C219" s="50" t="s">
        <v>398</v>
      </c>
      <c r="D219" s="50"/>
      <c r="E219" s="50" t="s">
        <v>18</v>
      </c>
      <c r="F219" s="50" t="s">
        <v>18</v>
      </c>
      <c r="G219" s="51" t="s">
        <v>399</v>
      </c>
      <c r="H219" s="50"/>
      <c r="I219" s="46"/>
    </row>
    <row r="220" spans="1:9" ht="16.5" customHeight="1">
      <c r="A220" s="50"/>
      <c r="B220" s="50"/>
      <c r="C220" s="50"/>
      <c r="D220" s="50"/>
      <c r="E220" s="50"/>
      <c r="F220" s="50" t="s">
        <v>26</v>
      </c>
      <c r="G220" s="51" t="s">
        <v>400</v>
      </c>
      <c r="H220" s="50"/>
      <c r="I220" s="46"/>
    </row>
    <row r="221" spans="1:9" ht="16.5" customHeight="1">
      <c r="A221" s="50"/>
      <c r="B221" s="50"/>
      <c r="C221" s="50"/>
      <c r="D221" s="50"/>
      <c r="E221" s="50"/>
      <c r="F221" s="50" t="s">
        <v>55</v>
      </c>
      <c r="G221" s="51" t="s">
        <v>376</v>
      </c>
      <c r="H221" s="50"/>
      <c r="I221" s="50"/>
    </row>
    <row r="222" spans="1:9" ht="16.5" customHeight="1">
      <c r="A222" s="50" t="s">
        <v>401</v>
      </c>
      <c r="B222" s="50" t="s">
        <v>402</v>
      </c>
      <c r="C222" s="50" t="s">
        <v>398</v>
      </c>
      <c r="D222" s="50"/>
      <c r="E222" s="50" t="s">
        <v>18</v>
      </c>
      <c r="F222" s="50" t="s">
        <v>18</v>
      </c>
      <c r="G222" s="51" t="s">
        <v>403</v>
      </c>
      <c r="H222" s="50"/>
      <c r="I222" s="50"/>
    </row>
    <row r="223" spans="1:9" ht="16.5" customHeight="1">
      <c r="A223" s="50"/>
      <c r="B223" s="50"/>
      <c r="C223" s="50"/>
      <c r="D223" s="50"/>
      <c r="E223" s="50"/>
      <c r="F223" s="50" t="s">
        <v>18</v>
      </c>
      <c r="G223" s="51" t="s">
        <v>404</v>
      </c>
      <c r="H223" s="50"/>
      <c r="I223" s="50"/>
    </row>
    <row r="224" spans="1:9" ht="16.5" customHeight="1">
      <c r="A224" s="50"/>
      <c r="B224" s="50"/>
      <c r="C224" s="50"/>
      <c r="D224" s="50"/>
      <c r="E224" s="50"/>
      <c r="F224" s="50" t="s">
        <v>18</v>
      </c>
      <c r="G224" s="51" t="s">
        <v>405</v>
      </c>
      <c r="H224" s="50"/>
      <c r="I224" s="50"/>
    </row>
    <row r="225" spans="1:9" ht="16.5" customHeight="1">
      <c r="A225" s="50"/>
      <c r="B225" s="50"/>
      <c r="C225" s="50"/>
      <c r="D225" s="50"/>
      <c r="E225" s="50"/>
      <c r="F225" s="50" t="s">
        <v>55</v>
      </c>
      <c r="G225" s="51" t="s">
        <v>376</v>
      </c>
      <c r="H225" s="50"/>
      <c r="I225" s="50"/>
    </row>
    <row r="226" spans="1:9" ht="16.5" customHeight="1">
      <c r="A226" s="50" t="s">
        <v>406</v>
      </c>
      <c r="B226" s="50" t="s">
        <v>407</v>
      </c>
      <c r="C226" s="50" t="s">
        <v>408</v>
      </c>
      <c r="D226" s="50"/>
      <c r="E226" s="50" t="s">
        <v>36</v>
      </c>
      <c r="F226" s="50" t="s">
        <v>40</v>
      </c>
      <c r="G226" s="51" t="s">
        <v>409</v>
      </c>
      <c r="H226" s="50"/>
      <c r="I226" s="50"/>
    </row>
    <row r="227" spans="1:9" ht="36" customHeight="1">
      <c r="A227" s="50" t="s">
        <v>410</v>
      </c>
      <c r="B227" s="46" t="s">
        <v>411</v>
      </c>
      <c r="C227" s="50" t="s">
        <v>412</v>
      </c>
      <c r="D227" s="50"/>
      <c r="E227" s="50" t="s">
        <v>63</v>
      </c>
      <c r="F227" s="50" t="s">
        <v>137</v>
      </c>
      <c r="G227" s="51" t="s">
        <v>413</v>
      </c>
      <c r="H227" s="50"/>
      <c r="I227" s="50"/>
    </row>
    <row r="228" spans="1:9" ht="16.5" customHeight="1">
      <c r="A228" s="50"/>
      <c r="B228" s="50"/>
      <c r="C228" s="50"/>
      <c r="D228" s="50"/>
      <c r="E228" s="50"/>
      <c r="F228" s="50" t="s">
        <v>63</v>
      </c>
      <c r="G228" s="51" t="s">
        <v>414</v>
      </c>
      <c r="H228" s="50"/>
      <c r="I228" s="50"/>
    </row>
    <row r="229" spans="1:9" ht="16.5" customHeight="1">
      <c r="A229" s="50"/>
      <c r="B229" s="50"/>
      <c r="C229" s="50"/>
      <c r="D229" s="50"/>
      <c r="E229" s="50"/>
      <c r="F229" s="50" t="s">
        <v>63</v>
      </c>
      <c r="G229" s="51" t="s">
        <v>415</v>
      </c>
      <c r="H229" s="50"/>
      <c r="I229" s="50"/>
    </row>
    <row r="230" spans="1:9" ht="16.5" customHeight="1">
      <c r="A230" s="50" t="s">
        <v>416</v>
      </c>
      <c r="B230" s="50" t="s">
        <v>417</v>
      </c>
      <c r="C230" s="50" t="s">
        <v>418</v>
      </c>
      <c r="D230" s="50"/>
      <c r="E230" s="50" t="s">
        <v>12</v>
      </c>
      <c r="F230" s="50" t="s">
        <v>12</v>
      </c>
      <c r="G230" s="52" t="s">
        <v>419</v>
      </c>
      <c r="H230" s="50"/>
      <c r="I230" s="50"/>
    </row>
    <row r="231" spans="1:9" ht="16.5" customHeight="1">
      <c r="A231" s="50"/>
      <c r="B231" s="50"/>
      <c r="C231" s="50"/>
      <c r="D231" s="50"/>
      <c r="E231" s="50"/>
      <c r="F231" s="50" t="s">
        <v>12</v>
      </c>
      <c r="G231" s="51" t="s">
        <v>420</v>
      </c>
      <c r="H231" s="50"/>
      <c r="I231" s="50"/>
    </row>
    <row r="232" spans="1:9" ht="16.5" customHeight="1">
      <c r="A232" s="50"/>
      <c r="B232" s="50"/>
      <c r="C232" s="50"/>
      <c r="D232" s="50"/>
      <c r="E232" s="50"/>
      <c r="F232" s="50" t="s">
        <v>137</v>
      </c>
      <c r="G232" s="52" t="s">
        <v>421</v>
      </c>
      <c r="H232" s="50"/>
      <c r="I232" s="50"/>
    </row>
    <row r="233" spans="1:9" ht="16.5" customHeight="1">
      <c r="A233" s="50"/>
      <c r="B233" s="50"/>
      <c r="C233" s="50"/>
      <c r="D233" s="50"/>
      <c r="E233" s="50"/>
      <c r="F233" s="50" t="s">
        <v>137</v>
      </c>
      <c r="G233" s="51" t="s">
        <v>413</v>
      </c>
      <c r="H233" s="50"/>
      <c r="I233" s="50"/>
    </row>
    <row r="234" spans="1:9" ht="16.5" customHeight="1">
      <c r="A234" s="50"/>
      <c r="B234" s="50"/>
      <c r="C234" s="50"/>
      <c r="D234" s="50"/>
      <c r="E234" s="50"/>
      <c r="F234" s="50" t="s">
        <v>137</v>
      </c>
      <c r="G234" s="52" t="s">
        <v>422</v>
      </c>
      <c r="H234" s="50"/>
      <c r="I234" s="50"/>
    </row>
    <row r="235" spans="1:9" ht="16.5" customHeight="1">
      <c r="A235" s="50" t="s">
        <v>423</v>
      </c>
      <c r="B235" s="50" t="s">
        <v>424</v>
      </c>
      <c r="C235" s="50" t="s">
        <v>425</v>
      </c>
      <c r="D235" s="50"/>
      <c r="E235" s="50" t="s">
        <v>36</v>
      </c>
      <c r="F235" s="50" t="s">
        <v>36</v>
      </c>
      <c r="G235" s="51" t="s">
        <v>426</v>
      </c>
      <c r="H235" s="50"/>
      <c r="I235" s="50"/>
    </row>
    <row r="236" spans="1:9" ht="16.5" customHeight="1">
      <c r="A236" s="50"/>
      <c r="B236" s="50"/>
      <c r="C236" s="50"/>
      <c r="D236" s="50"/>
      <c r="E236" s="50"/>
      <c r="F236" s="50" t="s">
        <v>36</v>
      </c>
      <c r="G236" s="47" t="s">
        <v>427</v>
      </c>
      <c r="H236" s="50"/>
      <c r="I236" s="50"/>
    </row>
    <row r="237" spans="1:9" ht="16.5" customHeight="1">
      <c r="A237" s="50" t="s">
        <v>428</v>
      </c>
      <c r="B237" s="50" t="s">
        <v>429</v>
      </c>
      <c r="C237" s="50" t="s">
        <v>425</v>
      </c>
      <c r="D237" s="50"/>
      <c r="E237" s="50" t="s">
        <v>55</v>
      </c>
      <c r="F237" s="50" t="s">
        <v>55</v>
      </c>
      <c r="G237" s="52" t="s">
        <v>430</v>
      </c>
      <c r="H237" s="50"/>
      <c r="I237" s="50"/>
    </row>
    <row r="238" spans="1:9" ht="16.5" customHeight="1">
      <c r="A238" s="50"/>
      <c r="B238" s="50"/>
      <c r="C238" s="50"/>
      <c r="D238" s="50"/>
      <c r="E238" s="50"/>
      <c r="F238" s="50" t="s">
        <v>55</v>
      </c>
      <c r="G238" s="52" t="s">
        <v>431</v>
      </c>
      <c r="H238" s="50"/>
      <c r="I238" s="50"/>
    </row>
    <row r="239" spans="1:9" ht="16.5" customHeight="1">
      <c r="A239" s="50"/>
      <c r="B239" s="50"/>
      <c r="C239" s="50"/>
      <c r="D239" s="50"/>
      <c r="E239" s="50"/>
      <c r="F239" s="50" t="s">
        <v>55</v>
      </c>
      <c r="G239" s="51" t="s">
        <v>432</v>
      </c>
      <c r="H239" s="50"/>
      <c r="I239" s="50"/>
    </row>
    <row r="240" spans="1:9" ht="47.25" customHeight="1">
      <c r="A240" s="50" t="s">
        <v>433</v>
      </c>
      <c r="B240" s="46" t="s">
        <v>434</v>
      </c>
      <c r="C240" s="50" t="s">
        <v>435</v>
      </c>
      <c r="D240" s="50"/>
      <c r="E240" s="50" t="s">
        <v>50</v>
      </c>
      <c r="F240" s="50" t="s">
        <v>50</v>
      </c>
      <c r="G240" s="51" t="s">
        <v>436</v>
      </c>
      <c r="H240" s="50"/>
      <c r="I240" s="50"/>
    </row>
    <row r="241" spans="1:9" ht="16.5" customHeight="1">
      <c r="A241" s="50"/>
      <c r="B241" s="50"/>
      <c r="C241" s="50"/>
      <c r="D241" s="50"/>
      <c r="E241" s="50"/>
      <c r="F241" s="50" t="s">
        <v>50</v>
      </c>
      <c r="G241" s="52" t="s">
        <v>437</v>
      </c>
      <c r="H241" s="50"/>
      <c r="I241" s="50"/>
    </row>
    <row r="242" spans="1:9" ht="16.5" customHeight="1">
      <c r="A242" s="50"/>
      <c r="B242" s="50"/>
      <c r="C242" s="50"/>
      <c r="D242" s="50"/>
      <c r="E242" s="50"/>
      <c r="F242" s="50" t="s">
        <v>50</v>
      </c>
      <c r="G242" s="52" t="s">
        <v>438</v>
      </c>
      <c r="H242" s="50"/>
      <c r="I242" s="50"/>
    </row>
    <row r="243" spans="1:9" ht="16.5" customHeight="1">
      <c r="A243" s="50"/>
      <c r="B243" s="50"/>
      <c r="C243" s="50"/>
      <c r="D243" s="50"/>
      <c r="E243" s="50"/>
      <c r="F243" s="50" t="s">
        <v>50</v>
      </c>
      <c r="G243" s="52" t="s">
        <v>439</v>
      </c>
      <c r="H243" s="50"/>
      <c r="I243" s="50"/>
    </row>
    <row r="244" spans="1:9" ht="16.5" customHeight="1">
      <c r="A244" s="50"/>
      <c r="B244" s="50"/>
      <c r="C244" s="50"/>
      <c r="D244" s="50"/>
      <c r="E244" s="50"/>
      <c r="F244" s="50" t="s">
        <v>50</v>
      </c>
      <c r="G244" s="52" t="s">
        <v>440</v>
      </c>
      <c r="H244" s="50"/>
      <c r="I244" s="50"/>
    </row>
    <row r="245" spans="1:9" ht="16.5" customHeight="1">
      <c r="A245" s="50"/>
      <c r="B245" s="50"/>
      <c r="C245" s="50"/>
      <c r="D245" s="50"/>
      <c r="E245" s="50"/>
      <c r="F245" s="50" t="s">
        <v>50</v>
      </c>
      <c r="G245" s="52" t="s">
        <v>441</v>
      </c>
      <c r="H245" s="50"/>
      <c r="I245" s="50"/>
    </row>
    <row r="246" spans="1:9" ht="16.5" customHeight="1">
      <c r="A246" s="50"/>
      <c r="B246" s="50"/>
      <c r="C246" s="50"/>
      <c r="D246" s="50"/>
      <c r="E246" s="50"/>
      <c r="F246" s="50" t="s">
        <v>50</v>
      </c>
      <c r="G246" s="52" t="s">
        <v>442</v>
      </c>
      <c r="H246" s="50"/>
      <c r="I246" s="50"/>
    </row>
    <row r="247" spans="1:9" ht="16.5" customHeight="1">
      <c r="A247" s="50"/>
      <c r="B247" s="50"/>
      <c r="C247" s="50"/>
      <c r="D247" s="50"/>
      <c r="E247" s="50"/>
      <c r="F247" s="50" t="s">
        <v>50</v>
      </c>
      <c r="G247" s="52" t="s">
        <v>443</v>
      </c>
      <c r="H247" s="50"/>
      <c r="I247" s="50"/>
    </row>
    <row r="248" spans="1:9" ht="16.5" customHeight="1">
      <c r="A248" s="50"/>
      <c r="B248" s="50"/>
      <c r="C248" s="50"/>
      <c r="D248" s="50"/>
      <c r="E248" s="50"/>
      <c r="F248" s="50" t="s">
        <v>444</v>
      </c>
      <c r="G248" s="52" t="s">
        <v>445</v>
      </c>
      <c r="H248" s="50"/>
      <c r="I248" s="50"/>
    </row>
    <row r="249" spans="1:9" ht="16.5" customHeight="1">
      <c r="A249" s="50" t="s">
        <v>446</v>
      </c>
      <c r="B249" s="50" t="s">
        <v>447</v>
      </c>
      <c r="C249" s="50" t="s">
        <v>435</v>
      </c>
      <c r="D249" s="50"/>
      <c r="E249" s="50" t="s">
        <v>50</v>
      </c>
      <c r="F249" s="50" t="s">
        <v>50</v>
      </c>
      <c r="G249" s="52" t="s">
        <v>448</v>
      </c>
      <c r="H249" s="50"/>
      <c r="I249" s="50"/>
    </row>
    <row r="250" spans="1:9" ht="16.5" customHeight="1">
      <c r="A250" s="50"/>
      <c r="B250" s="50"/>
      <c r="C250" s="50"/>
      <c r="D250" s="50"/>
      <c r="E250" s="50"/>
      <c r="F250" s="50" t="s">
        <v>50</v>
      </c>
      <c r="G250" s="52" t="s">
        <v>449</v>
      </c>
      <c r="H250" s="50"/>
      <c r="I250" s="50"/>
    </row>
    <row r="251" spans="1:9" ht="16.5" customHeight="1">
      <c r="A251" s="50"/>
      <c r="B251" s="50"/>
      <c r="C251" s="50"/>
      <c r="D251" s="50"/>
      <c r="E251" s="50"/>
      <c r="F251" s="50" t="s">
        <v>50</v>
      </c>
      <c r="G251" s="52" t="s">
        <v>450</v>
      </c>
      <c r="H251" s="50"/>
      <c r="I251" s="50"/>
    </row>
    <row r="252" spans="1:9" ht="16.5" customHeight="1">
      <c r="A252" s="50" t="s">
        <v>451</v>
      </c>
      <c r="B252" s="53" t="s">
        <v>452</v>
      </c>
      <c r="C252" s="50" t="s">
        <v>435</v>
      </c>
      <c r="D252" s="50"/>
      <c r="E252" s="50" t="s">
        <v>50</v>
      </c>
      <c r="F252" s="50" t="s">
        <v>50</v>
      </c>
      <c r="G252" s="52" t="s">
        <v>453</v>
      </c>
      <c r="H252" s="50"/>
      <c r="I252" s="50"/>
    </row>
    <row r="253" spans="1:9" ht="16.5" customHeight="1">
      <c r="A253" s="50"/>
      <c r="B253" s="50"/>
      <c r="C253" s="50"/>
      <c r="D253" s="50"/>
      <c r="E253" s="50"/>
      <c r="F253" s="50" t="s">
        <v>50</v>
      </c>
      <c r="G253" s="52" t="s">
        <v>440</v>
      </c>
      <c r="H253" s="50"/>
      <c r="I253" s="50"/>
    </row>
    <row r="254" spans="1:9" ht="16.5" customHeight="1">
      <c r="A254" s="50"/>
      <c r="B254" s="50"/>
      <c r="C254" s="50"/>
      <c r="D254" s="50"/>
      <c r="E254" s="50"/>
      <c r="F254" s="50" t="s">
        <v>444</v>
      </c>
      <c r="G254" s="52" t="s">
        <v>454</v>
      </c>
      <c r="H254" s="50"/>
      <c r="I254" s="50"/>
    </row>
    <row r="255" spans="1:9" ht="16.5" customHeight="1">
      <c r="A255" s="50" t="s">
        <v>455</v>
      </c>
      <c r="B255" s="50" t="s">
        <v>456</v>
      </c>
      <c r="C255" s="50" t="s">
        <v>457</v>
      </c>
      <c r="D255" s="50"/>
      <c r="E255" s="50" t="s">
        <v>26</v>
      </c>
      <c r="F255" s="50" t="s">
        <v>26</v>
      </c>
      <c r="G255" s="51" t="s">
        <v>361</v>
      </c>
      <c r="H255" s="50"/>
      <c r="I255" s="50"/>
    </row>
    <row r="256" spans="1:9" ht="16.5" customHeight="1">
      <c r="A256" s="50"/>
      <c r="B256" s="50"/>
      <c r="C256" s="50"/>
      <c r="D256" s="50"/>
      <c r="E256" s="50"/>
      <c r="F256" s="50" t="s">
        <v>26</v>
      </c>
      <c r="G256" s="51" t="s">
        <v>458</v>
      </c>
      <c r="H256" s="50"/>
      <c r="I256" s="50"/>
    </row>
    <row r="257" spans="1:9" ht="16.5" customHeight="1">
      <c r="A257" s="50" t="s">
        <v>459</v>
      </c>
      <c r="B257" s="50" t="s">
        <v>460</v>
      </c>
      <c r="C257" s="50" t="s">
        <v>461</v>
      </c>
      <c r="D257" s="50"/>
      <c r="E257" s="50" t="s">
        <v>36</v>
      </c>
      <c r="F257" s="50" t="s">
        <v>36</v>
      </c>
      <c r="G257" s="54" t="s">
        <v>462</v>
      </c>
      <c r="H257" s="50"/>
      <c r="I257" s="50"/>
    </row>
    <row r="258" spans="1:9" ht="16.5" customHeight="1">
      <c r="A258" s="50"/>
      <c r="B258" s="50"/>
      <c r="C258" s="50"/>
      <c r="D258" s="50"/>
      <c r="E258" s="50"/>
      <c r="F258" s="50" t="s">
        <v>40</v>
      </c>
      <c r="G258" s="51" t="s">
        <v>463</v>
      </c>
      <c r="H258" s="50"/>
      <c r="I258" s="50"/>
    </row>
    <row r="259" spans="1:9" ht="16.5" customHeight="1">
      <c r="A259" s="50"/>
      <c r="B259" s="50"/>
      <c r="C259" s="50"/>
      <c r="D259" s="50"/>
      <c r="E259" s="50"/>
      <c r="F259" s="50" t="s">
        <v>55</v>
      </c>
      <c r="G259" s="51" t="s">
        <v>464</v>
      </c>
      <c r="H259" s="50"/>
      <c r="I259" s="50"/>
    </row>
    <row r="260" spans="1:9" ht="16.5" customHeight="1">
      <c r="A260" s="50"/>
      <c r="B260" s="50"/>
      <c r="C260" s="50"/>
      <c r="D260" s="50"/>
      <c r="E260" s="50"/>
      <c r="F260" s="39" t="s">
        <v>55</v>
      </c>
      <c r="G260" s="40" t="s">
        <v>465</v>
      </c>
      <c r="H260" s="50"/>
      <c r="I260" s="50"/>
    </row>
    <row r="261" spans="1:9" ht="16.5" customHeight="1">
      <c r="A261" s="50"/>
      <c r="B261" s="50"/>
      <c r="C261" s="50"/>
      <c r="D261" s="50"/>
      <c r="E261" s="50"/>
      <c r="F261" s="39" t="s">
        <v>36</v>
      </c>
      <c r="G261" s="40" t="s">
        <v>466</v>
      </c>
      <c r="H261" s="50"/>
      <c r="I261" s="33"/>
    </row>
    <row r="262" spans="1:9" ht="16.5" customHeight="1">
      <c r="A262" s="50"/>
      <c r="B262" s="50"/>
      <c r="C262" s="50"/>
      <c r="D262" s="50"/>
      <c r="E262" s="50"/>
      <c r="F262" s="39" t="s">
        <v>12</v>
      </c>
      <c r="G262" s="40" t="s">
        <v>467</v>
      </c>
      <c r="H262" s="50"/>
      <c r="I262" s="50"/>
    </row>
    <row r="263" spans="1:9" ht="16.5" customHeight="1">
      <c r="A263" s="50"/>
      <c r="B263" s="50"/>
      <c r="C263" s="50"/>
      <c r="D263" s="50"/>
      <c r="E263" s="50"/>
      <c r="F263" s="39" t="s">
        <v>36</v>
      </c>
      <c r="G263" s="40" t="s">
        <v>468</v>
      </c>
      <c r="H263" s="50"/>
      <c r="I263" s="50"/>
    </row>
    <row r="264" spans="1:9" ht="16.5" customHeight="1">
      <c r="A264" s="39" t="s">
        <v>469</v>
      </c>
      <c r="B264" s="39" t="s">
        <v>470</v>
      </c>
      <c r="C264" s="39" t="s">
        <v>461</v>
      </c>
      <c r="E264" s="39" t="s">
        <v>32</v>
      </c>
      <c r="F264" s="39" t="s">
        <v>32</v>
      </c>
      <c r="G264" s="40" t="s">
        <v>471</v>
      </c>
      <c r="H264" s="50"/>
      <c r="I264" s="50"/>
    </row>
    <row r="265" spans="1:9" ht="16.5" customHeight="1">
      <c r="A265" s="50"/>
      <c r="B265" s="50"/>
      <c r="C265" s="50"/>
      <c r="D265" s="50"/>
      <c r="E265" s="50"/>
      <c r="F265" s="39" t="s">
        <v>32</v>
      </c>
      <c r="G265" s="40" t="s">
        <v>472</v>
      </c>
      <c r="H265" s="50"/>
      <c r="I265" s="50"/>
    </row>
    <row r="266" spans="1:9" ht="16.5" customHeight="1">
      <c r="A266" s="50"/>
      <c r="B266" s="50"/>
      <c r="C266" s="50"/>
      <c r="D266" s="50"/>
      <c r="E266" s="50"/>
      <c r="F266" s="39" t="s">
        <v>32</v>
      </c>
      <c r="G266" s="40" t="s">
        <v>473</v>
      </c>
      <c r="H266" s="50"/>
      <c r="I266" s="50"/>
    </row>
    <row r="267" spans="1:9" ht="16.5" customHeight="1">
      <c r="A267" s="50"/>
      <c r="B267" s="50"/>
      <c r="C267" s="50"/>
      <c r="D267" s="50"/>
      <c r="E267" s="50"/>
      <c r="F267" s="39" t="s">
        <v>32</v>
      </c>
      <c r="G267" s="40" t="s">
        <v>474</v>
      </c>
      <c r="H267" s="50"/>
      <c r="I267" s="50"/>
    </row>
    <row r="268" spans="1:9" s="37" customFormat="1" ht="16.5" customHeight="1">
      <c r="A268" s="50" t="s">
        <v>475</v>
      </c>
      <c r="B268" s="50" t="s">
        <v>476</v>
      </c>
      <c r="C268" s="50" t="s">
        <v>477</v>
      </c>
      <c r="D268" s="50"/>
      <c r="E268" s="50" t="s">
        <v>32</v>
      </c>
      <c r="F268" s="50" t="s">
        <v>32</v>
      </c>
      <c r="G268" s="51" t="s">
        <v>478</v>
      </c>
      <c r="H268" s="50"/>
      <c r="I268" s="50"/>
    </row>
    <row r="269" spans="1:9" s="37" customFormat="1" ht="16.5" customHeight="1">
      <c r="A269" s="50" t="s">
        <v>479</v>
      </c>
      <c r="B269" s="50" t="s">
        <v>480</v>
      </c>
      <c r="C269" s="50" t="s">
        <v>477</v>
      </c>
      <c r="D269" s="50"/>
      <c r="E269" s="69" t="s">
        <v>26</v>
      </c>
      <c r="F269" s="69" t="s">
        <v>26</v>
      </c>
      <c r="G269" s="51" t="s">
        <v>481</v>
      </c>
      <c r="H269" s="50"/>
      <c r="I269" s="50"/>
    </row>
    <row r="270" spans="1:9" ht="16.5" customHeight="1">
      <c r="A270" s="69" t="s">
        <v>482</v>
      </c>
      <c r="B270" s="69" t="s">
        <v>480</v>
      </c>
      <c r="C270" s="69" t="s">
        <v>483</v>
      </c>
      <c r="D270" s="50"/>
      <c r="E270" s="69"/>
      <c r="F270" s="69"/>
      <c r="G270" s="51" t="s">
        <v>484</v>
      </c>
      <c r="H270" s="50"/>
      <c r="I270" s="50"/>
    </row>
    <row r="271" spans="1:9" ht="16.5" customHeight="1">
      <c r="A271" s="69"/>
      <c r="B271" s="69"/>
      <c r="C271" s="69"/>
      <c r="D271" s="50"/>
      <c r="E271" s="69"/>
      <c r="F271" s="69"/>
      <c r="G271" s="51" t="s">
        <v>485</v>
      </c>
      <c r="H271" s="50"/>
      <c r="I271" s="50"/>
    </row>
    <row r="272" spans="1:9" ht="16.5" customHeight="1">
      <c r="A272" s="69"/>
      <c r="B272" s="69"/>
      <c r="C272" s="69"/>
      <c r="D272" s="50"/>
      <c r="E272" s="69"/>
      <c r="F272" s="69"/>
      <c r="G272" s="51" t="s">
        <v>486</v>
      </c>
      <c r="H272" s="50"/>
      <c r="I272" s="50"/>
    </row>
    <row r="273" spans="1:9" ht="16.5" customHeight="1">
      <c r="A273" s="69"/>
      <c r="B273" s="69"/>
      <c r="C273" s="69"/>
      <c r="D273" s="50"/>
      <c r="E273" s="69"/>
      <c r="F273" s="69"/>
      <c r="G273" s="51" t="s">
        <v>487</v>
      </c>
      <c r="H273" s="50"/>
      <c r="I273" s="50"/>
    </row>
    <row r="274" spans="1:9" ht="16.5" customHeight="1">
      <c r="A274" s="69"/>
      <c r="B274" s="69"/>
      <c r="C274" s="69"/>
      <c r="D274" s="50"/>
      <c r="E274" s="69"/>
      <c r="F274" s="69"/>
      <c r="G274" s="51" t="s">
        <v>488</v>
      </c>
      <c r="H274" s="50"/>
      <c r="I274" s="50"/>
    </row>
    <row r="275" spans="1:9" ht="16.5" customHeight="1">
      <c r="A275" s="69"/>
      <c r="B275" s="69"/>
      <c r="C275" s="69"/>
      <c r="D275" s="50"/>
      <c r="E275" s="69"/>
      <c r="F275" s="69"/>
      <c r="G275" s="51" t="s">
        <v>489</v>
      </c>
      <c r="H275" s="50"/>
      <c r="I275" s="50"/>
    </row>
    <row r="276" spans="1:9" ht="16.5" customHeight="1">
      <c r="A276" s="69"/>
      <c r="B276" s="69"/>
      <c r="C276" s="69"/>
      <c r="D276" s="50"/>
      <c r="E276" s="69"/>
      <c r="F276" s="69"/>
      <c r="G276" s="51" t="s">
        <v>490</v>
      </c>
      <c r="H276" s="50"/>
      <c r="I276" s="50"/>
    </row>
    <row r="277" spans="1:9" ht="16.5" customHeight="1">
      <c r="A277" s="69"/>
      <c r="B277" s="69"/>
      <c r="C277" s="69"/>
      <c r="D277" s="50"/>
      <c r="E277" s="69"/>
      <c r="F277" s="69"/>
      <c r="G277" s="51" t="s">
        <v>491</v>
      </c>
      <c r="H277" s="50"/>
      <c r="I277" s="50"/>
    </row>
    <row r="278" spans="1:9" ht="16.5" customHeight="1">
      <c r="A278" s="50" t="s">
        <v>492</v>
      </c>
      <c r="B278" s="50" t="s">
        <v>493</v>
      </c>
      <c r="C278" s="50" t="s">
        <v>494</v>
      </c>
      <c r="D278" s="50"/>
      <c r="E278" s="50" t="s">
        <v>12</v>
      </c>
      <c r="F278" s="50" t="s">
        <v>12</v>
      </c>
      <c r="G278" s="51" t="s">
        <v>495</v>
      </c>
      <c r="H278" s="50"/>
      <c r="I278" s="50"/>
    </row>
    <row r="279" spans="1:9" ht="16.5" customHeight="1">
      <c r="A279" s="50" t="s">
        <v>496</v>
      </c>
      <c r="B279" s="50" t="s">
        <v>497</v>
      </c>
      <c r="C279" s="50" t="s">
        <v>498</v>
      </c>
      <c r="D279" s="50"/>
      <c r="E279" s="50" t="s">
        <v>26</v>
      </c>
      <c r="F279" s="50" t="s">
        <v>26</v>
      </c>
      <c r="G279" s="51" t="s">
        <v>499</v>
      </c>
      <c r="H279" s="50"/>
      <c r="I279" s="50"/>
    </row>
    <row r="280" spans="1:9" ht="16.5" customHeight="1">
      <c r="A280" s="50"/>
      <c r="B280" s="50"/>
      <c r="C280" s="50"/>
      <c r="D280" s="50"/>
      <c r="E280" s="50"/>
      <c r="F280" s="50"/>
      <c r="G280" s="51" t="s">
        <v>500</v>
      </c>
      <c r="H280" s="50"/>
      <c r="I280" s="50"/>
    </row>
    <row r="281" spans="1:9" ht="16.5" customHeight="1">
      <c r="A281" s="50"/>
      <c r="B281" s="50"/>
      <c r="C281" s="50"/>
      <c r="D281" s="50"/>
      <c r="E281" s="50"/>
      <c r="F281" s="50"/>
      <c r="G281" s="51" t="s">
        <v>501</v>
      </c>
      <c r="H281" s="50"/>
      <c r="I281" s="50"/>
    </row>
    <row r="282" spans="1:9" ht="16.5" customHeight="1">
      <c r="A282" s="50" t="s">
        <v>502</v>
      </c>
      <c r="B282" s="50" t="s">
        <v>503</v>
      </c>
      <c r="C282" s="50" t="s">
        <v>504</v>
      </c>
      <c r="D282" s="50"/>
      <c r="E282" s="50" t="s">
        <v>26</v>
      </c>
      <c r="F282" s="50" t="s">
        <v>26</v>
      </c>
      <c r="G282" s="51" t="s">
        <v>505</v>
      </c>
      <c r="H282" s="50"/>
      <c r="I282" s="50"/>
    </row>
    <row r="283" spans="1:9" ht="16.5" customHeight="1">
      <c r="A283" s="50"/>
      <c r="B283" s="50"/>
      <c r="C283" s="50"/>
      <c r="D283" s="50"/>
      <c r="E283" s="50"/>
      <c r="F283" s="50"/>
      <c r="G283" s="51"/>
      <c r="H283" s="50"/>
      <c r="I283" s="50"/>
    </row>
    <row r="284" spans="1:9" ht="16.5" customHeight="1">
      <c r="A284" s="50" t="s">
        <v>506</v>
      </c>
      <c r="B284" s="50" t="s">
        <v>507</v>
      </c>
      <c r="C284" s="50" t="s">
        <v>508</v>
      </c>
      <c r="D284" s="50"/>
      <c r="E284" s="50" t="s">
        <v>32</v>
      </c>
      <c r="F284" s="50" t="s">
        <v>32</v>
      </c>
      <c r="G284" s="51" t="s">
        <v>509</v>
      </c>
      <c r="H284" s="50"/>
      <c r="I284" s="50"/>
    </row>
    <row r="285" spans="1:9" ht="16.5" customHeight="1">
      <c r="A285" s="69" t="s">
        <v>510</v>
      </c>
      <c r="B285" s="69" t="s">
        <v>511</v>
      </c>
      <c r="C285" s="69" t="s">
        <v>512</v>
      </c>
      <c r="D285" s="50"/>
      <c r="E285" s="69" t="s">
        <v>55</v>
      </c>
      <c r="F285" s="69" t="s">
        <v>55</v>
      </c>
      <c r="G285" s="51" t="s">
        <v>513</v>
      </c>
      <c r="H285" s="50"/>
      <c r="I285" s="50"/>
    </row>
    <row r="286" spans="1:9" ht="16.5" customHeight="1">
      <c r="A286" s="69"/>
      <c r="B286" s="69"/>
      <c r="C286" s="69"/>
      <c r="D286" s="50"/>
      <c r="E286" s="69"/>
      <c r="F286" s="69"/>
      <c r="G286" s="51" t="s">
        <v>514</v>
      </c>
      <c r="H286" s="50"/>
      <c r="I286" s="50"/>
    </row>
    <row r="287" spans="1:9" ht="16.5" customHeight="1">
      <c r="A287" s="69"/>
      <c r="B287" s="69"/>
      <c r="C287" s="69"/>
      <c r="D287" s="50"/>
      <c r="E287" s="69"/>
      <c r="F287" s="69"/>
      <c r="G287" s="51" t="s">
        <v>515</v>
      </c>
      <c r="H287" s="50"/>
      <c r="I287" s="50"/>
    </row>
    <row r="288" spans="1:9" ht="16.5" customHeight="1">
      <c r="A288" s="69"/>
      <c r="B288" s="69"/>
      <c r="C288" s="69"/>
      <c r="D288" s="50"/>
      <c r="E288" s="69"/>
      <c r="F288" s="69"/>
      <c r="G288" s="51" t="s">
        <v>516</v>
      </c>
      <c r="H288" s="50"/>
      <c r="I288" s="50"/>
    </row>
    <row r="289" spans="1:9" ht="16.5" customHeight="1">
      <c r="A289" s="69" t="s">
        <v>517</v>
      </c>
      <c r="B289" s="69" t="s">
        <v>518</v>
      </c>
      <c r="C289" s="69" t="s">
        <v>519</v>
      </c>
      <c r="D289" s="50"/>
      <c r="E289" s="69" t="s">
        <v>344</v>
      </c>
      <c r="F289" s="69" t="s">
        <v>344</v>
      </c>
      <c r="G289" s="51" t="s">
        <v>520</v>
      </c>
      <c r="H289" s="50"/>
      <c r="I289" s="50"/>
    </row>
    <row r="290" spans="1:9" ht="16.5" customHeight="1">
      <c r="A290" s="69"/>
      <c r="B290" s="69"/>
      <c r="C290" s="69"/>
      <c r="D290" s="50"/>
      <c r="E290" s="69"/>
      <c r="F290" s="69"/>
      <c r="G290" s="51" t="s">
        <v>521</v>
      </c>
      <c r="H290" s="50"/>
      <c r="I290" s="50"/>
    </row>
    <row r="291" spans="1:9" ht="16.5" customHeight="1">
      <c r="A291" s="69"/>
      <c r="B291" s="69"/>
      <c r="C291" s="69"/>
      <c r="D291" s="50"/>
      <c r="E291" s="69"/>
      <c r="F291" s="69"/>
      <c r="G291" s="51" t="s">
        <v>522</v>
      </c>
      <c r="H291" s="50"/>
      <c r="I291" s="50"/>
    </row>
    <row r="292" spans="1:9" ht="16.5" customHeight="1">
      <c r="A292" s="69"/>
      <c r="B292" s="69"/>
      <c r="C292" s="69"/>
      <c r="D292" s="50"/>
      <c r="E292" s="69"/>
      <c r="F292" s="69"/>
      <c r="G292" s="51" t="s">
        <v>523</v>
      </c>
      <c r="H292" s="50"/>
      <c r="I292" s="50"/>
    </row>
    <row r="293" spans="1:9" ht="16.5" customHeight="1">
      <c r="A293" s="69" t="s">
        <v>524</v>
      </c>
      <c r="B293" s="69" t="s">
        <v>525</v>
      </c>
      <c r="C293" s="69" t="s">
        <v>526</v>
      </c>
      <c r="D293" s="50"/>
      <c r="E293" s="69" t="s">
        <v>32</v>
      </c>
      <c r="F293" s="69" t="s">
        <v>32</v>
      </c>
      <c r="G293" s="51" t="s">
        <v>527</v>
      </c>
      <c r="H293" s="50"/>
      <c r="I293" s="50"/>
    </row>
    <row r="294" spans="1:9" ht="16.5" customHeight="1">
      <c r="A294" s="69"/>
      <c r="B294" s="69"/>
      <c r="C294" s="69"/>
      <c r="D294" s="50"/>
      <c r="E294" s="69"/>
      <c r="F294" s="69"/>
      <c r="G294" s="51" t="s">
        <v>528</v>
      </c>
      <c r="H294" s="50"/>
      <c r="I294" s="50"/>
    </row>
    <row r="295" spans="1:9" ht="16.5" customHeight="1">
      <c r="A295" s="69"/>
      <c r="B295" s="69"/>
      <c r="C295" s="69"/>
      <c r="D295" s="50"/>
      <c r="E295" s="69"/>
      <c r="F295" s="69"/>
      <c r="G295" s="51" t="s">
        <v>529</v>
      </c>
      <c r="H295" s="50"/>
      <c r="I295" s="50"/>
    </row>
    <row r="296" spans="1:9" ht="16.5" customHeight="1">
      <c r="A296" s="69" t="s">
        <v>530</v>
      </c>
      <c r="B296" s="69" t="s">
        <v>525</v>
      </c>
      <c r="C296" s="69" t="s">
        <v>526</v>
      </c>
      <c r="D296" s="50"/>
      <c r="E296" s="69" t="s">
        <v>32</v>
      </c>
      <c r="F296" s="69" t="s">
        <v>32</v>
      </c>
      <c r="G296" s="51" t="s">
        <v>531</v>
      </c>
      <c r="H296" s="50"/>
      <c r="I296" s="50"/>
    </row>
    <row r="297" spans="1:9" ht="16.5" customHeight="1">
      <c r="A297" s="69"/>
      <c r="B297" s="69"/>
      <c r="C297" s="69"/>
      <c r="D297" s="50"/>
      <c r="E297" s="69"/>
      <c r="F297" s="69"/>
      <c r="G297" s="51" t="s">
        <v>532</v>
      </c>
      <c r="H297" s="50"/>
      <c r="I297" s="50"/>
    </row>
    <row r="298" spans="1:9" ht="16.5" customHeight="1">
      <c r="A298" s="50" t="s">
        <v>533</v>
      </c>
      <c r="B298" s="50" t="s">
        <v>534</v>
      </c>
      <c r="C298" s="46" t="s">
        <v>535</v>
      </c>
      <c r="D298" s="50"/>
      <c r="E298" s="50" t="s">
        <v>12</v>
      </c>
      <c r="F298" s="50" t="s">
        <v>344</v>
      </c>
      <c r="G298" s="51" t="s">
        <v>536</v>
      </c>
      <c r="H298" s="50"/>
      <c r="I298" s="50"/>
    </row>
    <row r="299" spans="1:9" ht="16.5" customHeight="1">
      <c r="A299" s="50"/>
      <c r="B299" s="50"/>
      <c r="C299" s="50"/>
      <c r="D299" s="50"/>
      <c r="E299" s="50"/>
      <c r="F299" s="50" t="s">
        <v>12</v>
      </c>
      <c r="G299" s="51" t="s">
        <v>537</v>
      </c>
      <c r="H299" s="50"/>
      <c r="I299" s="50"/>
    </row>
    <row r="300" spans="1:9" ht="16.5" customHeight="1">
      <c r="A300" s="50"/>
      <c r="B300" s="50"/>
      <c r="C300" s="50"/>
      <c r="D300" s="50"/>
      <c r="E300" s="50"/>
      <c r="F300" s="50" t="s">
        <v>55</v>
      </c>
      <c r="G300" s="51" t="s">
        <v>538</v>
      </c>
      <c r="H300" s="50"/>
      <c r="I300" s="50"/>
    </row>
    <row r="301" spans="1:9" ht="16.5" customHeight="1">
      <c r="A301" s="50"/>
      <c r="B301" s="50"/>
      <c r="C301" s="50"/>
      <c r="D301" s="50"/>
      <c r="E301" s="50"/>
      <c r="F301" s="50" t="s">
        <v>344</v>
      </c>
      <c r="G301" s="51" t="s">
        <v>539</v>
      </c>
      <c r="H301" s="50"/>
      <c r="I301" s="50"/>
    </row>
    <row r="302" spans="1:9" ht="16.5" customHeight="1">
      <c r="A302" s="50"/>
      <c r="B302" s="50"/>
      <c r="C302" s="50"/>
      <c r="D302" s="50"/>
      <c r="E302" s="50"/>
      <c r="F302" s="50" t="s">
        <v>12</v>
      </c>
      <c r="G302" s="51" t="s">
        <v>540</v>
      </c>
      <c r="H302" s="50"/>
      <c r="I302" s="50"/>
    </row>
    <row r="303" spans="1:9" ht="16.5" customHeight="1">
      <c r="A303" s="50"/>
      <c r="B303" s="50"/>
      <c r="C303" s="50"/>
      <c r="D303" s="50"/>
      <c r="E303" s="50"/>
      <c r="F303" s="50" t="s">
        <v>55</v>
      </c>
      <c r="G303" s="51" t="s">
        <v>541</v>
      </c>
      <c r="H303" s="50"/>
      <c r="I303" s="50"/>
    </row>
    <row r="304" spans="1:9" s="38" customFormat="1" ht="16.5" customHeight="1">
      <c r="A304" s="55" t="s">
        <v>542</v>
      </c>
      <c r="B304" s="55" t="s">
        <v>543</v>
      </c>
      <c r="C304" s="55" t="s">
        <v>544</v>
      </c>
      <c r="D304" s="55" t="s">
        <v>545</v>
      </c>
      <c r="E304" s="55" t="s">
        <v>546</v>
      </c>
      <c r="F304" s="55" t="s">
        <v>547</v>
      </c>
      <c r="G304" s="56" t="s">
        <v>548</v>
      </c>
      <c r="H304" s="55"/>
      <c r="I304" s="55"/>
    </row>
    <row r="305" spans="1:9" s="38" customFormat="1" ht="16.5" customHeight="1">
      <c r="A305" s="55"/>
      <c r="B305" s="55"/>
      <c r="C305" s="55"/>
      <c r="D305" s="55"/>
      <c r="E305" s="55"/>
      <c r="F305" s="55"/>
      <c r="G305" s="56"/>
      <c r="H305" s="55"/>
      <c r="I305" s="55"/>
    </row>
    <row r="306" spans="1:9" s="38" customFormat="1" ht="16.5" customHeight="1">
      <c r="A306" s="55"/>
      <c r="B306" s="55"/>
      <c r="C306" s="55"/>
      <c r="D306" s="55"/>
      <c r="E306" s="55"/>
      <c r="F306" s="55"/>
      <c r="G306" s="56"/>
      <c r="H306" s="55"/>
      <c r="I306" s="55"/>
    </row>
    <row r="307" spans="1:9" s="38" customFormat="1" ht="16.5" customHeight="1">
      <c r="A307" s="55" t="s">
        <v>549</v>
      </c>
      <c r="B307" s="55" t="s">
        <v>550</v>
      </c>
      <c r="C307" s="55" t="s">
        <v>551</v>
      </c>
      <c r="D307" s="55" t="s">
        <v>55</v>
      </c>
      <c r="E307" s="55" t="s">
        <v>36</v>
      </c>
      <c r="F307" s="55"/>
      <c r="G307" s="56" t="s">
        <v>552</v>
      </c>
      <c r="H307" s="55"/>
      <c r="I307" s="55"/>
    </row>
    <row r="308" spans="1:9" s="38" customFormat="1" ht="16.5" customHeight="1">
      <c r="A308" s="55" t="s">
        <v>553</v>
      </c>
      <c r="B308" s="55" t="s">
        <v>554</v>
      </c>
      <c r="C308" s="55" t="s">
        <v>551</v>
      </c>
      <c r="D308" s="55" t="s">
        <v>55</v>
      </c>
      <c r="E308" s="55" t="s">
        <v>36</v>
      </c>
      <c r="F308" s="55"/>
      <c r="G308" s="56" t="s">
        <v>555</v>
      </c>
      <c r="H308" s="55"/>
      <c r="I308" s="55"/>
    </row>
    <row r="309" spans="1:9" s="38" customFormat="1" ht="16.5" customHeight="1">
      <c r="A309" s="55" t="s">
        <v>556</v>
      </c>
      <c r="B309" s="55" t="s">
        <v>557</v>
      </c>
      <c r="C309" s="55" t="s">
        <v>551</v>
      </c>
      <c r="D309" s="55" t="s">
        <v>55</v>
      </c>
      <c r="E309" s="55" t="s">
        <v>36</v>
      </c>
      <c r="F309" s="55"/>
      <c r="G309" s="56" t="s">
        <v>558</v>
      </c>
      <c r="H309" s="55"/>
      <c r="I309" s="55"/>
    </row>
    <row r="310" spans="1:9" s="38" customFormat="1" ht="16.5" customHeight="1">
      <c r="A310" s="55" t="s">
        <v>559</v>
      </c>
      <c r="B310" s="55" t="s">
        <v>560</v>
      </c>
      <c r="C310" s="55" t="s">
        <v>551</v>
      </c>
      <c r="D310" s="55" t="s">
        <v>55</v>
      </c>
      <c r="E310" s="55" t="s">
        <v>36</v>
      </c>
      <c r="F310" s="55" t="s">
        <v>36</v>
      </c>
      <c r="G310" s="56" t="s">
        <v>561</v>
      </c>
      <c r="H310" s="55"/>
      <c r="I310" s="55"/>
    </row>
    <row r="311" spans="1:9" s="38" customFormat="1" ht="16.5" customHeight="1">
      <c r="A311" s="55"/>
      <c r="B311" s="55"/>
      <c r="C311" s="55"/>
      <c r="D311" s="55"/>
      <c r="E311" s="55"/>
      <c r="F311" s="55"/>
      <c r="G311" s="56" t="s">
        <v>562</v>
      </c>
      <c r="H311" s="55"/>
      <c r="I311" s="55"/>
    </row>
    <row r="312" spans="1:9" s="38" customFormat="1" ht="16.5" customHeight="1">
      <c r="A312" s="55" t="s">
        <v>563</v>
      </c>
      <c r="B312" s="55" t="s">
        <v>564</v>
      </c>
      <c r="C312" s="55" t="s">
        <v>551</v>
      </c>
      <c r="D312" s="55" t="s">
        <v>55</v>
      </c>
      <c r="E312" s="55" t="s">
        <v>36</v>
      </c>
      <c r="F312" s="55"/>
      <c r="G312" s="56" t="s">
        <v>565</v>
      </c>
      <c r="H312" s="55"/>
      <c r="I312" s="55"/>
    </row>
    <row r="313" spans="1:9" s="38" customFormat="1" ht="16.5" customHeight="1">
      <c r="A313" s="55" t="s">
        <v>566</v>
      </c>
      <c r="B313" s="55" t="s">
        <v>554</v>
      </c>
      <c r="C313" s="55" t="s">
        <v>551</v>
      </c>
      <c r="D313" s="55" t="s">
        <v>55</v>
      </c>
      <c r="E313" s="55" t="s">
        <v>36</v>
      </c>
      <c r="F313" s="55"/>
      <c r="G313" s="56" t="s">
        <v>567</v>
      </c>
      <c r="H313" s="55"/>
      <c r="I313" s="55"/>
    </row>
    <row r="314" spans="1:9" s="38" customFormat="1" ht="16.5" customHeight="1">
      <c r="A314" s="57"/>
      <c r="B314" s="57"/>
      <c r="C314" s="57"/>
      <c r="D314" s="55"/>
      <c r="E314" s="55"/>
      <c r="F314" s="55"/>
      <c r="G314" s="56" t="s">
        <v>568</v>
      </c>
      <c r="H314" s="55"/>
      <c r="I314" s="55"/>
    </row>
    <row r="315" spans="1:9" s="38" customFormat="1" ht="16.5" customHeight="1">
      <c r="A315" s="55"/>
      <c r="B315" s="55"/>
      <c r="C315" s="55"/>
      <c r="D315" s="55"/>
      <c r="E315" s="55"/>
      <c r="F315" s="55"/>
      <c r="G315" s="56" t="s">
        <v>569</v>
      </c>
      <c r="H315" s="55"/>
      <c r="I315" s="55"/>
    </row>
    <row r="316" spans="1:9" s="38" customFormat="1" ht="16.5" customHeight="1">
      <c r="A316" s="55" t="s">
        <v>570</v>
      </c>
      <c r="B316" s="55" t="s">
        <v>493</v>
      </c>
      <c r="C316" s="55" t="s">
        <v>551</v>
      </c>
      <c r="D316" s="55" t="s">
        <v>55</v>
      </c>
      <c r="E316" s="55" t="s">
        <v>36</v>
      </c>
      <c r="F316" s="55"/>
      <c r="G316" s="56" t="s">
        <v>569</v>
      </c>
      <c r="H316" s="55"/>
      <c r="I316" s="55"/>
    </row>
    <row r="317" spans="1:9" s="38" customFormat="1" ht="16.5" customHeight="1">
      <c r="A317" s="55" t="s">
        <v>571</v>
      </c>
      <c r="B317" s="55" t="s">
        <v>493</v>
      </c>
      <c r="C317" s="55" t="s">
        <v>551</v>
      </c>
      <c r="D317" s="55" t="s">
        <v>55</v>
      </c>
      <c r="E317" s="55" t="s">
        <v>36</v>
      </c>
      <c r="F317" s="55"/>
      <c r="G317" s="56" t="s">
        <v>572</v>
      </c>
      <c r="H317" s="55"/>
      <c r="I317" s="55"/>
    </row>
    <row r="318" spans="1:9" s="38" customFormat="1" ht="16.5" customHeight="1">
      <c r="A318" s="55" t="s">
        <v>573</v>
      </c>
      <c r="B318" s="55" t="s">
        <v>574</v>
      </c>
      <c r="C318" s="55" t="s">
        <v>551</v>
      </c>
      <c r="D318" s="55" t="s">
        <v>55</v>
      </c>
      <c r="E318" s="55" t="s">
        <v>36</v>
      </c>
      <c r="F318" s="55" t="s">
        <v>25</v>
      </c>
      <c r="G318" s="56" t="s">
        <v>575</v>
      </c>
      <c r="H318" s="55"/>
      <c r="I318" s="55"/>
    </row>
  </sheetData>
  <sheetProtection sort="0" autoFilter="0"/>
  <autoFilter ref="A1:I169" xr:uid="{00000000-0009-0000-0000-000000000000}"/>
  <mergeCells count="176">
    <mergeCell ref="A57:H57"/>
    <mergeCell ref="A84:H84"/>
    <mergeCell ref="A2:A3"/>
    <mergeCell ref="A7:A11"/>
    <mergeCell ref="A13:A28"/>
    <mergeCell ref="A29:A30"/>
    <mergeCell ref="A32:A47"/>
    <mergeCell ref="A48:A53"/>
    <mergeCell ref="A54:A55"/>
    <mergeCell ref="A58:A64"/>
    <mergeCell ref="A65:A67"/>
    <mergeCell ref="A68:A69"/>
    <mergeCell ref="A70:A73"/>
    <mergeCell ref="A74:A75"/>
    <mergeCell ref="A76:A79"/>
    <mergeCell ref="A80:A81"/>
    <mergeCell ref="A82:A83"/>
    <mergeCell ref="B2:B3"/>
    <mergeCell ref="B7:B11"/>
    <mergeCell ref="B13:B28"/>
    <mergeCell ref="B29:B30"/>
    <mergeCell ref="B32:B47"/>
    <mergeCell ref="B48:B53"/>
    <mergeCell ref="B54:B55"/>
    <mergeCell ref="A85:A89"/>
    <mergeCell ref="A90:A91"/>
    <mergeCell ref="A92:A97"/>
    <mergeCell ref="A98:A100"/>
    <mergeCell ref="A101:A111"/>
    <mergeCell ref="A117:A118"/>
    <mergeCell ref="A119:A120"/>
    <mergeCell ref="A121:A123"/>
    <mergeCell ref="A126:A131"/>
    <mergeCell ref="A132:A139"/>
    <mergeCell ref="A142:A145"/>
    <mergeCell ref="A146:A148"/>
    <mergeCell ref="A149:A153"/>
    <mergeCell ref="A154:A157"/>
    <mergeCell ref="A158:A161"/>
    <mergeCell ref="A162:A164"/>
    <mergeCell ref="A165:A166"/>
    <mergeCell ref="A179:A180"/>
    <mergeCell ref="A181:A182"/>
    <mergeCell ref="A195:A200"/>
    <mergeCell ref="A201:A202"/>
    <mergeCell ref="A210:A215"/>
    <mergeCell ref="A270:A277"/>
    <mergeCell ref="A285:A288"/>
    <mergeCell ref="A289:A292"/>
    <mergeCell ref="A293:A295"/>
    <mergeCell ref="A296:A297"/>
    <mergeCell ref="B58:B64"/>
    <mergeCell ref="B65:B67"/>
    <mergeCell ref="B68:B69"/>
    <mergeCell ref="B70:B73"/>
    <mergeCell ref="B74:B75"/>
    <mergeCell ref="B76:B79"/>
    <mergeCell ref="B80:B81"/>
    <mergeCell ref="B82:B83"/>
    <mergeCell ref="B85:B89"/>
    <mergeCell ref="B90:B91"/>
    <mergeCell ref="B92:B97"/>
    <mergeCell ref="B98:B100"/>
    <mergeCell ref="B101:B111"/>
    <mergeCell ref="B117:B118"/>
    <mergeCell ref="B119:B120"/>
    <mergeCell ref="B121:B123"/>
    <mergeCell ref="B126:B131"/>
    <mergeCell ref="B132:B139"/>
    <mergeCell ref="B142:B145"/>
    <mergeCell ref="B146:B148"/>
    <mergeCell ref="B149:B153"/>
    <mergeCell ref="B154:B157"/>
    <mergeCell ref="B158:B161"/>
    <mergeCell ref="B162:B164"/>
    <mergeCell ref="B165:B166"/>
    <mergeCell ref="B179:B180"/>
    <mergeCell ref="B181:B182"/>
    <mergeCell ref="B195:B200"/>
    <mergeCell ref="B201:B202"/>
    <mergeCell ref="B210:B215"/>
    <mergeCell ref="B270:B277"/>
    <mergeCell ref="B285:B288"/>
    <mergeCell ref="B289:B292"/>
    <mergeCell ref="B293:B295"/>
    <mergeCell ref="B296:B297"/>
    <mergeCell ref="C2:C3"/>
    <mergeCell ref="C7:C11"/>
    <mergeCell ref="C13:C28"/>
    <mergeCell ref="C29:C30"/>
    <mergeCell ref="C32:C47"/>
    <mergeCell ref="C48:C53"/>
    <mergeCell ref="C54:C55"/>
    <mergeCell ref="C58:C64"/>
    <mergeCell ref="C65:C67"/>
    <mergeCell ref="C68:C69"/>
    <mergeCell ref="C70:C73"/>
    <mergeCell ref="C74:C75"/>
    <mergeCell ref="C76:C79"/>
    <mergeCell ref="C80:C81"/>
    <mergeCell ref="C82:C83"/>
    <mergeCell ref="C85:C89"/>
    <mergeCell ref="C90:C91"/>
    <mergeCell ref="C92:C97"/>
    <mergeCell ref="C98:C100"/>
    <mergeCell ref="C101:C111"/>
    <mergeCell ref="C117:C118"/>
    <mergeCell ref="C119:C120"/>
    <mergeCell ref="C121:C123"/>
    <mergeCell ref="C126:C131"/>
    <mergeCell ref="C132:C139"/>
    <mergeCell ref="C142:C145"/>
    <mergeCell ref="C146:C148"/>
    <mergeCell ref="C149:C153"/>
    <mergeCell ref="C154:C157"/>
    <mergeCell ref="C158:C161"/>
    <mergeCell ref="C162:C164"/>
    <mergeCell ref="C165:C166"/>
    <mergeCell ref="C179:C180"/>
    <mergeCell ref="C181:C182"/>
    <mergeCell ref="C195:C200"/>
    <mergeCell ref="C201:C202"/>
    <mergeCell ref="C210:C215"/>
    <mergeCell ref="C270:C277"/>
    <mergeCell ref="C285:C288"/>
    <mergeCell ref="C289:C292"/>
    <mergeCell ref="C293:C295"/>
    <mergeCell ref="C296:C297"/>
    <mergeCell ref="E7:E11"/>
    <mergeCell ref="E13:E28"/>
    <mergeCell ref="E29:E30"/>
    <mergeCell ref="E32:E47"/>
    <mergeCell ref="E48:E53"/>
    <mergeCell ref="E54:E55"/>
    <mergeCell ref="E58:E64"/>
    <mergeCell ref="E65:E67"/>
    <mergeCell ref="E68:E69"/>
    <mergeCell ref="E70:E73"/>
    <mergeCell ref="E74:E75"/>
    <mergeCell ref="E76:E79"/>
    <mergeCell ref="E80:E81"/>
    <mergeCell ref="E82:E83"/>
    <mergeCell ref="E85:E89"/>
    <mergeCell ref="E90:E91"/>
    <mergeCell ref="E92:E97"/>
    <mergeCell ref="E98:E100"/>
    <mergeCell ref="E101:E111"/>
    <mergeCell ref="E117:E118"/>
    <mergeCell ref="E119:E120"/>
    <mergeCell ref="E121:E123"/>
    <mergeCell ref="E126:E131"/>
    <mergeCell ref="E132:E139"/>
    <mergeCell ref="E142:E145"/>
    <mergeCell ref="G106:G108"/>
    <mergeCell ref="E201:E202"/>
    <mergeCell ref="E210:E215"/>
    <mergeCell ref="E269:E277"/>
    <mergeCell ref="E285:E288"/>
    <mergeCell ref="E289:E292"/>
    <mergeCell ref="E293:E295"/>
    <mergeCell ref="E296:E297"/>
    <mergeCell ref="F201:F202"/>
    <mergeCell ref="F269:F277"/>
    <mergeCell ref="F285:F288"/>
    <mergeCell ref="F289:F292"/>
    <mergeCell ref="F293:F295"/>
    <mergeCell ref="F296:F297"/>
    <mergeCell ref="E146:E148"/>
    <mergeCell ref="E149:E153"/>
    <mergeCell ref="E154:E157"/>
    <mergeCell ref="E158:E161"/>
    <mergeCell ref="E162:E164"/>
    <mergeCell ref="E165:E166"/>
    <mergeCell ref="E179:E180"/>
    <mergeCell ref="E181:E182"/>
    <mergeCell ref="E195:E200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H9" sqref="H9"/>
    </sheetView>
  </sheetViews>
  <sheetFormatPr defaultColWidth="9" defaultRowHeight="16.5" customHeight="1"/>
  <cols>
    <col min="1" max="1" width="15" style="33" customWidth="1"/>
    <col min="2" max="2" width="15.109375" style="33" customWidth="1"/>
    <col min="3" max="3" width="7.44140625" style="33" customWidth="1"/>
    <col min="4" max="4" width="13.44140625" style="33" customWidth="1"/>
    <col min="5" max="5" width="17.109375" style="33" customWidth="1"/>
    <col min="6" max="7" width="14.88671875" style="33" customWidth="1"/>
    <col min="8" max="8" width="10.44140625" style="33" customWidth="1"/>
    <col min="9" max="9" width="15.44140625" style="33" customWidth="1"/>
    <col min="10" max="10" width="10.44140625" style="33" customWidth="1"/>
  </cols>
  <sheetData>
    <row r="1" spans="1:10" ht="16.5" customHeight="1">
      <c r="A1" s="87"/>
      <c r="B1" s="88"/>
      <c r="C1" s="88"/>
      <c r="D1" s="89"/>
      <c r="E1" s="72" t="s">
        <v>576</v>
      </c>
      <c r="F1" s="72" t="s">
        <v>577</v>
      </c>
      <c r="G1" s="72" t="s">
        <v>578</v>
      </c>
      <c r="H1" s="73" t="s">
        <v>579</v>
      </c>
      <c r="I1" s="74" t="s">
        <v>580</v>
      </c>
      <c r="J1" s="77">
        <v>3.5</v>
      </c>
    </row>
    <row r="2" spans="1:10" ht="15" customHeight="1" thickBot="1">
      <c r="A2" s="90"/>
      <c r="B2" s="91"/>
      <c r="C2" s="91"/>
      <c r="D2" s="92"/>
      <c r="E2" s="72"/>
      <c r="F2" s="72"/>
      <c r="G2" s="72"/>
      <c r="H2" s="73"/>
      <c r="I2" s="75"/>
      <c r="J2" s="78"/>
    </row>
    <row r="3" spans="1:10" ht="18" customHeight="1" thickBot="1">
      <c r="A3" s="80" t="s">
        <v>581</v>
      </c>
      <c r="B3" s="80"/>
      <c r="C3" s="80"/>
      <c r="D3" s="80"/>
      <c r="E3" s="58">
        <v>9.4</v>
      </c>
      <c r="F3" s="58">
        <v>9.3000000000000007</v>
      </c>
      <c r="G3" s="58">
        <v>9.5</v>
      </c>
      <c r="H3" s="60">
        <f t="shared" ref="H3:H20" si="0">(E3+F3+G3)/3</f>
        <v>9.4</v>
      </c>
      <c r="I3" s="75"/>
      <c r="J3" s="78"/>
    </row>
    <row r="4" spans="1:10" ht="15" customHeight="1" thickBot="1">
      <c r="A4" s="80" t="s">
        <v>582</v>
      </c>
      <c r="B4" s="80"/>
      <c r="C4" s="80"/>
      <c r="D4" s="80"/>
      <c r="E4" s="59">
        <v>231.2</v>
      </c>
      <c r="F4" s="59">
        <v>233.3</v>
      </c>
      <c r="G4" s="59">
        <v>233.1</v>
      </c>
      <c r="H4" s="60">
        <f t="shared" si="0"/>
        <v>232.53333333333333</v>
      </c>
      <c r="I4" s="75"/>
      <c r="J4" s="78"/>
    </row>
    <row r="5" spans="1:10" ht="15" customHeight="1" thickBot="1">
      <c r="A5" s="80" t="s">
        <v>583</v>
      </c>
      <c r="B5" s="80"/>
      <c r="C5" s="80"/>
      <c r="D5" s="80"/>
      <c r="E5" s="59">
        <v>11.3</v>
      </c>
      <c r="F5" s="59">
        <v>11.3</v>
      </c>
      <c r="G5" s="59">
        <v>11.1</v>
      </c>
      <c r="H5" s="60">
        <f t="shared" si="0"/>
        <v>11.233333333333334</v>
      </c>
      <c r="I5" s="75"/>
      <c r="J5" s="78"/>
    </row>
    <row r="6" spans="1:10" ht="15" customHeight="1" thickBot="1">
      <c r="A6" s="34"/>
      <c r="B6" s="34"/>
      <c r="C6" s="34"/>
      <c r="D6" s="34"/>
      <c r="E6" s="59">
        <v>4.8</v>
      </c>
      <c r="F6" s="59">
        <v>5.2</v>
      </c>
      <c r="G6" s="59">
        <v>5.3</v>
      </c>
      <c r="H6" s="60">
        <f t="shared" si="0"/>
        <v>5.1000000000000005</v>
      </c>
      <c r="I6" s="75"/>
      <c r="J6" s="78"/>
    </row>
    <row r="7" spans="1:10" ht="19.5" customHeight="1" thickBot="1">
      <c r="A7" s="80" t="s">
        <v>584</v>
      </c>
      <c r="B7" s="80"/>
      <c r="C7" s="80"/>
      <c r="D7" s="80"/>
      <c r="E7" s="59">
        <v>5858</v>
      </c>
      <c r="F7" s="59">
        <v>6316</v>
      </c>
      <c r="G7" s="59">
        <v>6461</v>
      </c>
      <c r="H7" s="60">
        <f t="shared" si="0"/>
        <v>6211.666666666667</v>
      </c>
      <c r="I7" s="75"/>
      <c r="J7" s="78"/>
    </row>
    <row r="8" spans="1:10" ht="18" customHeight="1" thickBot="1">
      <c r="A8" s="80" t="s">
        <v>585</v>
      </c>
      <c r="B8" s="80"/>
      <c r="C8" s="80"/>
      <c r="D8" s="80"/>
      <c r="E8" s="59">
        <v>545.70000000000005</v>
      </c>
      <c r="F8" s="59">
        <v>544.5</v>
      </c>
      <c r="G8" s="59">
        <v>545.20000000000005</v>
      </c>
      <c r="H8" s="60">
        <f t="shared" si="0"/>
        <v>545.13333333333333</v>
      </c>
      <c r="I8" s="75"/>
      <c r="J8" s="78"/>
    </row>
    <row r="9" spans="1:10" ht="15.75" customHeight="1" thickBot="1">
      <c r="A9" s="80" t="s">
        <v>586</v>
      </c>
      <c r="B9" s="80"/>
      <c r="C9" s="80"/>
      <c r="D9" s="34" t="s">
        <v>587</v>
      </c>
      <c r="E9" s="58">
        <v>2.9</v>
      </c>
      <c r="F9" s="58">
        <v>3.02</v>
      </c>
      <c r="G9" s="58">
        <v>2.8</v>
      </c>
      <c r="H9" s="60">
        <f t="shared" si="0"/>
        <v>2.9066666666666663</v>
      </c>
      <c r="I9" s="75"/>
      <c r="J9" s="78"/>
    </row>
    <row r="10" spans="1:10" ht="14.25" customHeight="1">
      <c r="A10" s="80"/>
      <c r="B10" s="80"/>
      <c r="C10" s="80"/>
      <c r="D10" s="34" t="s">
        <v>588</v>
      </c>
      <c r="E10" s="34">
        <f>(21-J1)/(21-E3)*E9</f>
        <v>4.375</v>
      </c>
      <c r="F10" s="34">
        <f>(21-J1)/(21-F3)*F9</f>
        <v>4.517094017094017</v>
      </c>
      <c r="G10" s="34">
        <f>(21-J1)/(21-G3)*G9</f>
        <v>4.2608695652173916</v>
      </c>
      <c r="H10" s="60">
        <f t="shared" si="0"/>
        <v>4.3843211941038023</v>
      </c>
      <c r="I10" s="75"/>
      <c r="J10" s="78"/>
    </row>
    <row r="11" spans="1:10" ht="15" customHeight="1" thickBot="1">
      <c r="A11" s="80" t="s">
        <v>589</v>
      </c>
      <c r="B11" s="80"/>
      <c r="C11" s="80"/>
      <c r="D11" s="80"/>
      <c r="E11" s="34">
        <f>E9*E7/1000000</f>
        <v>1.6988200000000002E-2</v>
      </c>
      <c r="F11" s="34">
        <f>F9*F7/1000000</f>
        <v>1.9074319999999999E-2</v>
      </c>
      <c r="G11" s="34">
        <f>G9*G7/1000000</f>
        <v>1.8090800000000001E-2</v>
      </c>
      <c r="H11" s="60">
        <f t="shared" si="0"/>
        <v>1.8051106666666667E-2</v>
      </c>
      <c r="I11" s="75"/>
      <c r="J11" s="78"/>
    </row>
    <row r="12" spans="1:10" ht="15" customHeight="1">
      <c r="A12" s="81" t="s">
        <v>590</v>
      </c>
      <c r="B12" s="82"/>
      <c r="C12" s="83"/>
      <c r="D12" s="34" t="s">
        <v>587</v>
      </c>
      <c r="E12" s="35">
        <v>60.9</v>
      </c>
      <c r="F12" s="35">
        <v>58.4</v>
      </c>
      <c r="G12" s="35">
        <v>64.2</v>
      </c>
      <c r="H12" s="60">
        <f t="shared" si="0"/>
        <v>61.166666666666664</v>
      </c>
      <c r="I12" s="75"/>
      <c r="J12" s="78"/>
    </row>
    <row r="13" spans="1:10" ht="16.5" customHeight="1">
      <c r="A13" s="84"/>
      <c r="B13" s="85"/>
      <c r="C13" s="86"/>
      <c r="D13" s="34" t="s">
        <v>588</v>
      </c>
      <c r="E13" s="34">
        <f>(21-J1)/(21-E3)*E12</f>
        <v>91.875</v>
      </c>
      <c r="F13" s="34">
        <f>(21-J1)/(21-F3)*F12</f>
        <v>87.350427350427353</v>
      </c>
      <c r="G13" s="34">
        <f>(21-J1)/(21-G3)*G12</f>
        <v>97.695652173913061</v>
      </c>
      <c r="H13" s="60">
        <f t="shared" si="0"/>
        <v>92.307026508113481</v>
      </c>
      <c r="I13" s="75"/>
      <c r="J13" s="78"/>
    </row>
    <row r="14" spans="1:10" ht="15" customHeight="1">
      <c r="A14" s="80" t="s">
        <v>591</v>
      </c>
      <c r="B14" s="80"/>
      <c r="C14" s="80"/>
      <c r="D14" s="80"/>
      <c r="E14" s="34">
        <f>E12*E7/1000000</f>
        <v>0.35675220000000002</v>
      </c>
      <c r="F14" s="34">
        <f>F12*F7/1000000</f>
        <v>0.36885439999999997</v>
      </c>
      <c r="G14" s="34">
        <f>G12*G7/1000000</f>
        <v>0.4147962</v>
      </c>
      <c r="H14" s="60">
        <f t="shared" si="0"/>
        <v>0.38013426666666666</v>
      </c>
      <c r="I14" s="75"/>
      <c r="J14" s="78"/>
    </row>
    <row r="15" spans="1:10" ht="16.5" customHeight="1">
      <c r="A15" s="81" t="s">
        <v>592</v>
      </c>
      <c r="B15" s="82"/>
      <c r="C15" s="83"/>
      <c r="D15" s="34" t="s">
        <v>587</v>
      </c>
      <c r="E15" s="4">
        <v>7</v>
      </c>
      <c r="F15" s="4">
        <v>8</v>
      </c>
      <c r="G15" s="4">
        <v>9</v>
      </c>
      <c r="H15" s="60">
        <f t="shared" si="0"/>
        <v>8</v>
      </c>
      <c r="I15" s="75"/>
      <c r="J15" s="78"/>
    </row>
    <row r="16" spans="1:10" ht="14.25" customHeight="1">
      <c r="A16" s="84"/>
      <c r="B16" s="85"/>
      <c r="C16" s="86"/>
      <c r="D16" s="34" t="s">
        <v>588</v>
      </c>
      <c r="E16" s="34">
        <f>(21-J1)/(21-E3)*E15</f>
        <v>10.560344827586206</v>
      </c>
      <c r="F16" s="34">
        <f>(21-J1)/(21-F3)*F15</f>
        <v>11.965811965811966</v>
      </c>
      <c r="G16" s="34">
        <f>(21-J1)/(21-G3)*G15</f>
        <v>13.695652173913045</v>
      </c>
      <c r="H16" s="60">
        <f t="shared" si="0"/>
        <v>12.073936322437072</v>
      </c>
      <c r="I16" s="75"/>
      <c r="J16" s="78"/>
    </row>
    <row r="17" spans="1:10" ht="15" customHeight="1" thickBot="1">
      <c r="A17" s="80" t="s">
        <v>593</v>
      </c>
      <c r="B17" s="80"/>
      <c r="C17" s="80"/>
      <c r="D17" s="80"/>
      <c r="E17" s="34">
        <f>E15*E7/1000000</f>
        <v>4.1006000000000001E-2</v>
      </c>
      <c r="F17" s="34">
        <f>F15*F7/1000000</f>
        <v>5.0528000000000003E-2</v>
      </c>
      <c r="G17" s="34">
        <f>G15*G7/1000000</f>
        <v>5.8148999999999999E-2</v>
      </c>
      <c r="H17" s="60">
        <f t="shared" si="0"/>
        <v>4.9894333333333339E-2</v>
      </c>
      <c r="I17" s="75"/>
      <c r="J17" s="78"/>
    </row>
    <row r="18" spans="1:10" ht="19.5" customHeight="1" thickBot="1">
      <c r="A18" s="81" t="s">
        <v>594</v>
      </c>
      <c r="B18" s="82"/>
      <c r="C18" s="83"/>
      <c r="D18" s="34" t="s">
        <v>587</v>
      </c>
      <c r="E18" s="61">
        <v>19</v>
      </c>
      <c r="F18" s="61">
        <v>22</v>
      </c>
      <c r="G18" s="61">
        <v>20</v>
      </c>
      <c r="H18" s="60">
        <f t="shared" si="0"/>
        <v>20.333333333333332</v>
      </c>
      <c r="I18" s="75"/>
      <c r="J18" s="78"/>
    </row>
    <row r="19" spans="1:10" ht="14.25" customHeight="1">
      <c r="A19" s="84"/>
      <c r="B19" s="85"/>
      <c r="C19" s="86"/>
      <c r="D19" s="34" t="s">
        <v>588</v>
      </c>
      <c r="E19" s="34">
        <f>(21-J1)/(21-E3)*E18</f>
        <v>28.663793103448274</v>
      </c>
      <c r="F19" s="34">
        <f>(21-J1)/(21-F3)*F18</f>
        <v>32.90598290598291</v>
      </c>
      <c r="G19" s="34">
        <f>(21-J1)/(21-G3)*G18</f>
        <v>30.434782608695656</v>
      </c>
      <c r="H19" s="60">
        <f t="shared" si="0"/>
        <v>30.668186206042279</v>
      </c>
      <c r="I19" s="75"/>
      <c r="J19" s="78"/>
    </row>
    <row r="20" spans="1:10" ht="15" customHeight="1">
      <c r="A20" s="80" t="s">
        <v>595</v>
      </c>
      <c r="B20" s="80"/>
      <c r="C20" s="80"/>
      <c r="D20" s="80"/>
      <c r="E20" s="34">
        <f>E18*E7/1000000</f>
        <v>0.111302</v>
      </c>
      <c r="F20" s="34">
        <f>F18*F7/1000000</f>
        <v>0.13895199999999999</v>
      </c>
      <c r="G20" s="34">
        <f>G18*G7/1000000</f>
        <v>0.12922</v>
      </c>
      <c r="H20" s="60">
        <f t="shared" si="0"/>
        <v>0.12649133333333332</v>
      </c>
      <c r="I20" s="76"/>
      <c r="J20" s="79"/>
    </row>
  </sheetData>
  <sheetProtection sort="0" autoFilter="0"/>
  <mergeCells count="20">
    <mergeCell ref="A11:D11"/>
    <mergeCell ref="A14:D14"/>
    <mergeCell ref="A17:D17"/>
    <mergeCell ref="A20:D20"/>
    <mergeCell ref="E1:E2"/>
    <mergeCell ref="A12:C13"/>
    <mergeCell ref="A1:D2"/>
    <mergeCell ref="A18:C19"/>
    <mergeCell ref="A15:C16"/>
    <mergeCell ref="A9:C10"/>
    <mergeCell ref="A3:D3"/>
    <mergeCell ref="A4:D4"/>
    <mergeCell ref="A5:D5"/>
    <mergeCell ref="A7:D7"/>
    <mergeCell ref="A8:D8"/>
    <mergeCell ref="F1:F2"/>
    <mergeCell ref="G1:G2"/>
    <mergeCell ref="H1:H2"/>
    <mergeCell ref="I1:I20"/>
    <mergeCell ref="J1:J20"/>
  </mergeCells>
  <phoneticPr fontId="22" type="noConversion"/>
  <pageMargins left="0.7" right="0.7" top="0.75" bottom="0.75" header="0.3" footer="0.3"/>
  <pageSetup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A9" sqref="A9:C9"/>
    </sheetView>
  </sheetViews>
  <sheetFormatPr defaultColWidth="9" defaultRowHeight="16.5" customHeight="1"/>
  <cols>
    <col min="1" max="1" width="17" customWidth="1"/>
    <col min="2" max="2" width="15" style="30" customWidth="1"/>
    <col min="3" max="3" width="25.77734375" customWidth="1"/>
  </cols>
  <sheetData>
    <row r="1" spans="1:10" ht="14.25" customHeight="1">
      <c r="A1" s="96" t="s">
        <v>596</v>
      </c>
      <c r="B1" s="72" t="s">
        <v>597</v>
      </c>
      <c r="C1" s="72"/>
      <c r="D1" s="72"/>
      <c r="E1" s="72"/>
      <c r="F1" s="72"/>
      <c r="G1" s="72" t="s">
        <v>598</v>
      </c>
      <c r="H1" s="72"/>
      <c r="I1" s="72"/>
      <c r="J1" s="72"/>
    </row>
    <row r="2" spans="1:10" ht="28.5" customHeight="1">
      <c r="A2" s="96"/>
      <c r="B2" s="72" t="s">
        <v>599</v>
      </c>
      <c r="C2" s="31" t="s">
        <v>600</v>
      </c>
      <c r="D2" s="31" t="s">
        <v>601</v>
      </c>
      <c r="E2" s="31" t="s">
        <v>602</v>
      </c>
      <c r="F2" s="31" t="s">
        <v>603</v>
      </c>
      <c r="G2" s="31" t="s">
        <v>600</v>
      </c>
      <c r="H2" s="31" t="s">
        <v>601</v>
      </c>
      <c r="I2" s="31" t="s">
        <v>602</v>
      </c>
      <c r="J2" s="31" t="s">
        <v>603</v>
      </c>
    </row>
    <row r="3" spans="1:10" ht="16.5" customHeight="1" thickBot="1">
      <c r="A3" s="96"/>
      <c r="B3" s="72"/>
      <c r="C3" s="31" t="s">
        <v>604</v>
      </c>
      <c r="D3" s="31" t="s">
        <v>605</v>
      </c>
      <c r="E3" s="31" t="s">
        <v>606</v>
      </c>
      <c r="F3" s="31" t="s">
        <v>607</v>
      </c>
      <c r="G3" s="31" t="s">
        <v>604</v>
      </c>
      <c r="H3" s="31" t="s">
        <v>605</v>
      </c>
      <c r="I3" s="31" t="s">
        <v>606</v>
      </c>
      <c r="J3" s="31" t="s">
        <v>607</v>
      </c>
    </row>
    <row r="4" spans="1:10" ht="14.25" customHeight="1" thickBot="1">
      <c r="A4" s="31" t="s">
        <v>608</v>
      </c>
      <c r="B4" s="31">
        <v>1</v>
      </c>
      <c r="C4" s="9">
        <v>1.5</v>
      </c>
      <c r="D4" s="62">
        <v>16.100000000000001</v>
      </c>
      <c r="E4" s="58">
        <v>29.5</v>
      </c>
      <c r="F4" s="58">
        <v>5.5</v>
      </c>
      <c r="H4" s="62">
        <v>16</v>
      </c>
      <c r="I4" s="58">
        <v>29.4</v>
      </c>
      <c r="J4" s="58">
        <v>5.6</v>
      </c>
    </row>
    <row r="5" spans="1:10" ht="14.25" customHeight="1" thickBot="1">
      <c r="A5" s="31" t="s">
        <v>609</v>
      </c>
      <c r="B5" s="31">
        <v>2</v>
      </c>
      <c r="C5" s="12">
        <v>1.8</v>
      </c>
      <c r="D5" s="63">
        <v>15.8</v>
      </c>
      <c r="E5" s="59">
        <v>29.6</v>
      </c>
      <c r="F5" s="59">
        <v>5.6</v>
      </c>
      <c r="H5" s="63">
        <v>15.9</v>
      </c>
      <c r="I5" s="59">
        <v>29.6</v>
      </c>
      <c r="J5" s="59">
        <v>5.5</v>
      </c>
    </row>
    <row r="6" spans="1:10" ht="15.75" customHeight="1" thickBot="1">
      <c r="A6" s="31" t="s">
        <v>610</v>
      </c>
      <c r="B6" s="31">
        <v>3</v>
      </c>
      <c r="C6" s="12">
        <v>1.7</v>
      </c>
      <c r="D6" s="63">
        <v>15.9</v>
      </c>
      <c r="E6" s="59">
        <v>29.7</v>
      </c>
      <c r="F6" s="59">
        <v>5.5</v>
      </c>
      <c r="H6" s="63">
        <v>15.9</v>
      </c>
      <c r="I6" s="59">
        <v>29.6</v>
      </c>
      <c r="J6" s="59">
        <v>5.4</v>
      </c>
    </row>
    <row r="7" spans="1:10" ht="14.25" customHeight="1" thickBot="1">
      <c r="A7" s="31" t="s">
        <v>611</v>
      </c>
      <c r="B7" s="31">
        <v>4</v>
      </c>
      <c r="C7" s="12">
        <v>1.9</v>
      </c>
      <c r="D7" s="64">
        <v>16.100000000000001</v>
      </c>
      <c r="E7" s="65">
        <v>29.6</v>
      </c>
      <c r="F7" s="65">
        <v>5.4</v>
      </c>
      <c r="H7" s="64">
        <v>15.8</v>
      </c>
      <c r="I7" s="65">
        <v>29.6</v>
      </c>
      <c r="J7" s="65">
        <v>5.4</v>
      </c>
    </row>
    <row r="8" spans="1:10" ht="14.25" customHeight="1" thickBot="1">
      <c r="A8" s="31" t="s">
        <v>612</v>
      </c>
      <c r="B8" s="31">
        <v>5</v>
      </c>
      <c r="C8" s="12">
        <v>1.3</v>
      </c>
      <c r="D8" s="64">
        <v>16</v>
      </c>
      <c r="E8" s="65">
        <v>29.8</v>
      </c>
      <c r="F8" s="65">
        <v>5.5</v>
      </c>
      <c r="H8" s="64">
        <v>15.9</v>
      </c>
      <c r="I8" s="65">
        <v>30.4</v>
      </c>
      <c r="J8" s="65">
        <v>5.4</v>
      </c>
    </row>
    <row r="9" spans="1:10" ht="16.5" customHeight="1">
      <c r="A9" s="72" t="s">
        <v>613</v>
      </c>
      <c r="B9" s="72"/>
      <c r="C9" s="72"/>
      <c r="D9" s="72">
        <f>AVERAGE(C4:C8)</f>
        <v>1.6400000000000001</v>
      </c>
      <c r="E9" s="72"/>
      <c r="F9" s="72"/>
      <c r="G9" s="72" t="e">
        <f>AVERAGE(G4:G8)</f>
        <v>#DIV/0!</v>
      </c>
      <c r="H9" s="72"/>
      <c r="I9" s="72"/>
      <c r="J9" s="72"/>
    </row>
    <row r="10" spans="1:10" ht="14.25" customHeight="1">
      <c r="A10" s="72" t="s">
        <v>614</v>
      </c>
      <c r="B10" s="72"/>
      <c r="C10" s="72"/>
      <c r="D10" s="95">
        <f>AVERAGE(D4:D8)</f>
        <v>15.98</v>
      </c>
      <c r="E10" s="95"/>
      <c r="F10" s="95"/>
      <c r="G10" s="95">
        <f>AVERAGE(H4:H8)</f>
        <v>15.9</v>
      </c>
      <c r="H10" s="95"/>
      <c r="I10" s="95"/>
      <c r="J10" s="95"/>
    </row>
    <row r="11" spans="1:10" ht="14.25" customHeight="1">
      <c r="A11" s="72" t="s">
        <v>615</v>
      </c>
      <c r="B11" s="72"/>
      <c r="C11" s="72"/>
      <c r="D11" s="72">
        <f>AVERAGE(E4:E8)</f>
        <v>29.640000000000004</v>
      </c>
      <c r="E11" s="72"/>
      <c r="F11" s="72"/>
      <c r="G11" s="72">
        <f>AVERAGE(I4:I8)</f>
        <v>29.72</v>
      </c>
      <c r="H11" s="72"/>
      <c r="I11" s="72"/>
      <c r="J11" s="72"/>
    </row>
    <row r="12" spans="1:10" ht="14.25" customHeight="1">
      <c r="A12" s="72" t="s">
        <v>616</v>
      </c>
      <c r="B12" s="72"/>
      <c r="C12" s="72"/>
      <c r="D12" s="72">
        <f>AVERAGE(F4:F8)</f>
        <v>5.5</v>
      </c>
      <c r="E12" s="72"/>
      <c r="F12" s="72"/>
      <c r="G12" s="72">
        <f>AVERAGE(J4:J8)</f>
        <v>5.4599999999999991</v>
      </c>
      <c r="H12" s="72"/>
      <c r="I12" s="72"/>
      <c r="J12" s="72"/>
    </row>
    <row r="13" spans="1:10" ht="15" customHeight="1">
      <c r="A13" s="72" t="s">
        <v>617</v>
      </c>
      <c r="B13" s="31" t="s">
        <v>618</v>
      </c>
      <c r="C13" s="32" t="s">
        <v>619</v>
      </c>
      <c r="D13" s="72" t="e">
        <f>(G9-D9)/D9*100</f>
        <v>#DIV/0!</v>
      </c>
      <c r="E13" s="72"/>
      <c r="F13" s="72"/>
      <c r="G13" s="72"/>
      <c r="H13" s="72"/>
      <c r="I13" s="72"/>
      <c r="J13" s="72"/>
    </row>
    <row r="14" spans="1:10" ht="14.25" customHeight="1">
      <c r="A14" s="72"/>
      <c r="B14" s="31" t="s">
        <v>618</v>
      </c>
      <c r="C14" s="31" t="s">
        <v>620</v>
      </c>
      <c r="D14" s="72" t="e">
        <f>(G9-D9)/D9*100</f>
        <v>#DIV/0!</v>
      </c>
      <c r="E14" s="72"/>
      <c r="F14" s="72"/>
      <c r="G14" s="72"/>
      <c r="H14" s="72"/>
      <c r="I14" s="72"/>
      <c r="J14" s="72"/>
    </row>
    <row r="15" spans="1:10" ht="14.25" customHeight="1">
      <c r="A15" s="72"/>
      <c r="B15" s="31" t="s">
        <v>618</v>
      </c>
      <c r="C15" s="31" t="s">
        <v>621</v>
      </c>
      <c r="D15" s="72" t="e">
        <f>(G9-D9)/D9*100</f>
        <v>#DIV/0!</v>
      </c>
      <c r="E15" s="72"/>
      <c r="F15" s="72"/>
      <c r="G15" s="72"/>
      <c r="H15" s="72"/>
      <c r="I15" s="72"/>
      <c r="J15" s="72"/>
    </row>
    <row r="16" spans="1:10" ht="14.25" customHeight="1">
      <c r="A16" s="72"/>
      <c r="B16" s="31" t="s">
        <v>618</v>
      </c>
      <c r="C16" s="31" t="s">
        <v>622</v>
      </c>
      <c r="D16" s="72" t="e">
        <f>(G9-D9)/D9*100</f>
        <v>#DIV/0!</v>
      </c>
      <c r="E16" s="72"/>
      <c r="F16" s="72"/>
      <c r="G16" s="72"/>
      <c r="H16" s="72"/>
      <c r="I16" s="72"/>
      <c r="J16" s="72"/>
    </row>
    <row r="17" spans="1:10" ht="14.25" customHeight="1">
      <c r="A17" s="72"/>
      <c r="B17" s="31" t="s">
        <v>623</v>
      </c>
      <c r="C17" s="31" t="s">
        <v>624</v>
      </c>
      <c r="D17" s="72" t="e">
        <f>G9-D9</f>
        <v>#DIV/0!</v>
      </c>
      <c r="E17" s="72"/>
      <c r="F17" s="72"/>
      <c r="G17" s="72"/>
      <c r="H17" s="72"/>
      <c r="I17" s="72"/>
      <c r="J17" s="72"/>
    </row>
    <row r="18" spans="1:10" ht="16.5" customHeight="1">
      <c r="A18" s="72"/>
      <c r="B18" s="31" t="s">
        <v>623</v>
      </c>
      <c r="C18" s="31" t="s">
        <v>625</v>
      </c>
      <c r="D18" s="72" t="e">
        <f>D9-G9</f>
        <v>#DIV/0!</v>
      </c>
      <c r="E18" s="72"/>
      <c r="F18" s="72"/>
      <c r="G18" s="72"/>
      <c r="H18" s="72"/>
      <c r="I18" s="72"/>
      <c r="J18" s="72"/>
    </row>
    <row r="19" spans="1:10" ht="15" customHeight="1">
      <c r="A19" s="93" t="s">
        <v>626</v>
      </c>
      <c r="B19" s="31" t="s">
        <v>618</v>
      </c>
      <c r="C19" s="31" t="s">
        <v>627</v>
      </c>
      <c r="D19" s="72">
        <f>(G10-D10)/D10*100</f>
        <v>-0.5006257822277852</v>
      </c>
      <c r="E19" s="72"/>
      <c r="F19" s="72"/>
      <c r="G19" s="72"/>
      <c r="H19" s="72"/>
      <c r="I19" s="72"/>
      <c r="J19" s="72"/>
    </row>
    <row r="20" spans="1:10" ht="15" customHeight="1">
      <c r="A20" s="94"/>
      <c r="B20" s="31" t="s">
        <v>618</v>
      </c>
      <c r="C20" s="31" t="s">
        <v>628</v>
      </c>
      <c r="D20" s="72">
        <f>(G10-D10)/D10*100</f>
        <v>-0.5006257822277852</v>
      </c>
      <c r="E20" s="72"/>
      <c r="F20" s="72"/>
      <c r="G20" s="72"/>
      <c r="H20" s="72"/>
      <c r="I20" s="72"/>
      <c r="J20" s="72"/>
    </row>
    <row r="21" spans="1:10" ht="14.25" customHeight="1">
      <c r="A21" s="72" t="s">
        <v>629</v>
      </c>
      <c r="B21" s="72"/>
      <c r="C21" s="72"/>
      <c r="D21" s="72">
        <f>G11-D11</f>
        <v>7.9999999999994742E-2</v>
      </c>
      <c r="E21" s="72"/>
      <c r="F21" s="72"/>
      <c r="G21" s="72"/>
      <c r="H21" s="72"/>
      <c r="I21" s="72"/>
      <c r="J21" s="72"/>
    </row>
    <row r="22" spans="1:10" ht="17.25" customHeight="1">
      <c r="A22" s="72" t="s">
        <v>603</v>
      </c>
      <c r="B22" s="31" t="s">
        <v>623</v>
      </c>
      <c r="C22" s="31" t="s">
        <v>630</v>
      </c>
      <c r="D22" s="72">
        <f>G12-D12</f>
        <v>-4.0000000000000924E-2</v>
      </c>
      <c r="E22" s="72"/>
      <c r="F22" s="72"/>
      <c r="G22" s="72"/>
      <c r="H22" s="72"/>
      <c r="I22" s="72"/>
      <c r="J22" s="72"/>
    </row>
    <row r="23" spans="1:10" ht="15" customHeight="1">
      <c r="A23" s="72"/>
      <c r="B23" s="31" t="s">
        <v>618</v>
      </c>
      <c r="C23" s="31" t="s">
        <v>631</v>
      </c>
      <c r="D23" s="72">
        <f>(G12-D12)/D12*100</f>
        <v>-0.72727272727274406</v>
      </c>
      <c r="E23" s="72"/>
      <c r="F23" s="72"/>
      <c r="G23" s="72"/>
      <c r="H23" s="72"/>
      <c r="I23" s="72"/>
      <c r="J23" s="72"/>
    </row>
  </sheetData>
  <sheetProtection sort="0" autoFilter="0"/>
  <mergeCells count="31">
    <mergeCell ref="B1:F1"/>
    <mergeCell ref="G1:J1"/>
    <mergeCell ref="A9:C9"/>
    <mergeCell ref="D9:F9"/>
    <mergeCell ref="G9:J9"/>
    <mergeCell ref="A1:A3"/>
    <mergeCell ref="B2:B3"/>
    <mergeCell ref="A10:C10"/>
    <mergeCell ref="D10:F10"/>
    <mergeCell ref="G10:J10"/>
    <mergeCell ref="A11:C11"/>
    <mergeCell ref="D11:F11"/>
    <mergeCell ref="G11:J11"/>
    <mergeCell ref="A12:C12"/>
    <mergeCell ref="D12:F12"/>
    <mergeCell ref="G12:J12"/>
    <mergeCell ref="D13:J13"/>
    <mergeCell ref="D14:J14"/>
    <mergeCell ref="A13:A18"/>
    <mergeCell ref="D15:J15"/>
    <mergeCell ref="D16:J16"/>
    <mergeCell ref="D17:J17"/>
    <mergeCell ref="D18:J18"/>
    <mergeCell ref="D23:J23"/>
    <mergeCell ref="A19:A20"/>
    <mergeCell ref="A22:A23"/>
    <mergeCell ref="D19:J19"/>
    <mergeCell ref="D20:J20"/>
    <mergeCell ref="A21:C21"/>
    <mergeCell ref="D21:J21"/>
    <mergeCell ref="D22:J22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5"/>
  <sheetViews>
    <sheetView tabSelected="1" zoomScale="85" zoomScaleNormal="85" workbookViewId="0">
      <selection activeCell="C13" sqref="C13"/>
    </sheetView>
  </sheetViews>
  <sheetFormatPr defaultColWidth="9" defaultRowHeight="16.5" customHeight="1"/>
  <cols>
    <col min="2" max="2" width="19.44140625" customWidth="1"/>
    <col min="3" max="3" width="19.109375" customWidth="1"/>
    <col min="4" max="4" width="15.88671875" customWidth="1"/>
    <col min="5" max="5" width="19" customWidth="1"/>
    <col min="9" max="33" width="2.5546875" customWidth="1"/>
  </cols>
  <sheetData>
    <row r="1" spans="1:33" ht="15" customHeight="1" thickBot="1">
      <c r="A1" s="110" t="s">
        <v>632</v>
      </c>
      <c r="B1" s="110"/>
      <c r="C1" s="110"/>
      <c r="D1" s="110"/>
      <c r="E1" s="110"/>
    </row>
    <row r="2" spans="1:33" ht="24.75" customHeight="1">
      <c r="A2" s="99" t="s">
        <v>599</v>
      </c>
      <c r="B2" s="16" t="s">
        <v>633</v>
      </c>
      <c r="C2" s="16" t="s">
        <v>634</v>
      </c>
      <c r="D2" s="16" t="s">
        <v>635</v>
      </c>
      <c r="E2" s="16" t="s">
        <v>636</v>
      </c>
      <c r="F2" s="18" t="s">
        <v>637</v>
      </c>
      <c r="G2" s="19">
        <v>6</v>
      </c>
    </row>
    <row r="3" spans="1:33" ht="17.25" customHeight="1" thickBot="1">
      <c r="A3" s="100"/>
      <c r="B3" s="21" t="s">
        <v>638</v>
      </c>
      <c r="C3" s="21" t="s">
        <v>604</v>
      </c>
      <c r="D3" s="21" t="s">
        <v>604</v>
      </c>
      <c r="E3" s="21" t="s">
        <v>604</v>
      </c>
      <c r="F3" s="111">
        <v>2.5710000000000002</v>
      </c>
      <c r="G3" s="111"/>
    </row>
    <row r="4" spans="1:33" ht="15.75" customHeight="1" thickBot="1">
      <c r="A4" s="20">
        <v>101</v>
      </c>
      <c r="B4" s="21" t="s">
        <v>639</v>
      </c>
      <c r="C4" s="9">
        <v>114</v>
      </c>
      <c r="D4" s="10">
        <f>X4</f>
        <v>128.5</v>
      </c>
      <c r="E4" s="24">
        <f t="shared" ref="E4:E12" si="0">D4-C4</f>
        <v>14.5</v>
      </c>
      <c r="F4" s="18" t="s">
        <v>637</v>
      </c>
      <c r="G4" s="19">
        <v>9</v>
      </c>
      <c r="I4" s="126">
        <v>114.5</v>
      </c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8"/>
      <c r="X4" s="123">
        <v>128.5</v>
      </c>
      <c r="Y4" s="124"/>
      <c r="Z4" s="124"/>
      <c r="AA4" s="124"/>
      <c r="AB4" s="124"/>
      <c r="AC4" s="124"/>
      <c r="AD4" s="124"/>
      <c r="AE4" s="124"/>
      <c r="AF4" s="124"/>
      <c r="AG4" s="125"/>
    </row>
    <row r="5" spans="1:33" ht="15" customHeight="1" thickBot="1">
      <c r="A5" s="20">
        <v>102</v>
      </c>
      <c r="B5" s="21" t="s">
        <v>640</v>
      </c>
      <c r="C5" s="12">
        <v>108</v>
      </c>
      <c r="D5" s="10">
        <f t="shared" ref="D5:D12" si="1">X5</f>
        <v>119.5</v>
      </c>
      <c r="E5" s="24">
        <f t="shared" si="0"/>
        <v>11.5</v>
      </c>
      <c r="F5" s="111">
        <v>2.306</v>
      </c>
      <c r="G5" s="111"/>
      <c r="I5" s="126">
        <v>108.3</v>
      </c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8"/>
      <c r="X5" s="123">
        <v>119.5</v>
      </c>
      <c r="Y5" s="124"/>
      <c r="Z5" s="124"/>
      <c r="AA5" s="124"/>
      <c r="AB5" s="124"/>
      <c r="AC5" s="124"/>
      <c r="AD5" s="124"/>
      <c r="AE5" s="124"/>
      <c r="AF5" s="124"/>
      <c r="AG5" s="125"/>
    </row>
    <row r="6" spans="1:33" ht="15" customHeight="1" thickBot="1">
      <c r="A6" s="20">
        <v>103</v>
      </c>
      <c r="B6" s="21" t="s">
        <v>641</v>
      </c>
      <c r="C6" s="12">
        <v>116</v>
      </c>
      <c r="D6" s="10">
        <f t="shared" si="1"/>
        <v>125.3</v>
      </c>
      <c r="E6" s="24">
        <f t="shared" si="0"/>
        <v>9.2999999999999972</v>
      </c>
      <c r="I6" s="126">
        <v>116.1</v>
      </c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8"/>
      <c r="X6" s="123">
        <v>125.3</v>
      </c>
      <c r="Y6" s="124"/>
      <c r="Z6" s="124"/>
      <c r="AA6" s="124"/>
      <c r="AB6" s="124"/>
      <c r="AC6" s="124"/>
      <c r="AD6" s="124"/>
      <c r="AE6" s="124"/>
      <c r="AF6" s="124"/>
      <c r="AG6" s="125"/>
    </row>
    <row r="7" spans="1:33" ht="15" customHeight="1" thickBot="1">
      <c r="A7" s="20">
        <v>104</v>
      </c>
      <c r="B7" s="21" t="s">
        <v>642</v>
      </c>
      <c r="C7" s="12">
        <v>117</v>
      </c>
      <c r="D7" s="10">
        <f t="shared" si="1"/>
        <v>135</v>
      </c>
      <c r="E7" s="24">
        <f t="shared" si="0"/>
        <v>18</v>
      </c>
      <c r="I7" s="126">
        <v>117.1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8"/>
      <c r="X7" s="123">
        <v>135</v>
      </c>
      <c r="Y7" s="124"/>
      <c r="Z7" s="124"/>
      <c r="AA7" s="124"/>
      <c r="AB7" s="124"/>
      <c r="AC7" s="124"/>
      <c r="AD7" s="124"/>
      <c r="AE7" s="124"/>
      <c r="AF7" s="124"/>
      <c r="AG7" s="125"/>
    </row>
    <row r="8" spans="1:33" ht="15" customHeight="1" thickBot="1">
      <c r="A8" s="20">
        <v>105</v>
      </c>
      <c r="B8" s="21" t="s">
        <v>643</v>
      </c>
      <c r="C8" s="12">
        <v>106</v>
      </c>
      <c r="D8" s="10">
        <f t="shared" si="1"/>
        <v>118.2</v>
      </c>
      <c r="E8" s="24">
        <f t="shared" si="0"/>
        <v>12.200000000000003</v>
      </c>
      <c r="I8" s="126">
        <v>105.7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8"/>
      <c r="X8" s="123">
        <v>118.2</v>
      </c>
      <c r="Y8" s="124"/>
      <c r="Z8" s="124"/>
      <c r="AA8" s="124"/>
      <c r="AB8" s="124"/>
      <c r="AC8" s="124"/>
      <c r="AD8" s="124"/>
      <c r="AE8" s="124"/>
      <c r="AF8" s="124"/>
      <c r="AG8" s="125"/>
    </row>
    <row r="9" spans="1:33" ht="15" customHeight="1" thickBot="1">
      <c r="A9" s="20">
        <v>106</v>
      </c>
      <c r="B9" s="21" t="s">
        <v>644</v>
      </c>
      <c r="C9" s="12">
        <v>110</v>
      </c>
      <c r="D9" s="10">
        <f t="shared" si="1"/>
        <v>112.8</v>
      </c>
      <c r="E9" s="24">
        <f t="shared" si="0"/>
        <v>2.7999999999999972</v>
      </c>
      <c r="I9" s="126">
        <v>110</v>
      </c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8"/>
      <c r="X9" s="123">
        <v>112.8</v>
      </c>
      <c r="Y9" s="124"/>
      <c r="Z9" s="124"/>
      <c r="AA9" s="124"/>
      <c r="AB9" s="124"/>
      <c r="AC9" s="124"/>
      <c r="AD9" s="124"/>
      <c r="AE9" s="124"/>
      <c r="AF9" s="124"/>
      <c r="AG9" s="125"/>
    </row>
    <row r="10" spans="1:33" ht="15" customHeight="1" thickBot="1">
      <c r="A10" s="20">
        <v>107</v>
      </c>
      <c r="B10" s="21" t="s">
        <v>645</v>
      </c>
      <c r="C10" s="12">
        <v>104</v>
      </c>
      <c r="D10" s="10">
        <f t="shared" si="1"/>
        <v>111.5</v>
      </c>
      <c r="E10" s="24">
        <f t="shared" si="0"/>
        <v>7.5</v>
      </c>
      <c r="I10" s="126">
        <v>104.4</v>
      </c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23">
        <v>111.5</v>
      </c>
      <c r="Y10" s="124"/>
      <c r="Z10" s="124"/>
      <c r="AA10" s="124"/>
      <c r="AB10" s="124"/>
      <c r="AC10" s="124"/>
      <c r="AD10" s="124"/>
      <c r="AE10" s="124"/>
      <c r="AF10" s="124"/>
      <c r="AG10" s="125"/>
    </row>
    <row r="11" spans="1:33" ht="15.75" customHeight="1" thickBot="1">
      <c r="A11" s="20">
        <v>108</v>
      </c>
      <c r="B11" s="21" t="s">
        <v>646</v>
      </c>
      <c r="C11" s="12">
        <v>106</v>
      </c>
      <c r="D11" s="10">
        <f t="shared" si="1"/>
        <v>112</v>
      </c>
      <c r="E11" s="24">
        <f t="shared" si="0"/>
        <v>6</v>
      </c>
      <c r="I11" s="126">
        <v>106.2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8"/>
      <c r="X11" s="123">
        <v>112</v>
      </c>
      <c r="Y11" s="124"/>
      <c r="Z11" s="124"/>
      <c r="AA11" s="124"/>
      <c r="AB11" s="124"/>
      <c r="AC11" s="124"/>
      <c r="AD11" s="124"/>
      <c r="AE11" s="124"/>
      <c r="AF11" s="124"/>
      <c r="AG11" s="125"/>
    </row>
    <row r="12" spans="1:33" ht="15" customHeight="1" thickBot="1">
      <c r="A12" s="20">
        <v>109</v>
      </c>
      <c r="B12" s="21" t="s">
        <v>647</v>
      </c>
      <c r="C12" s="12">
        <v>113</v>
      </c>
      <c r="D12" s="10">
        <f t="shared" si="1"/>
        <v>117</v>
      </c>
      <c r="E12" s="24">
        <f t="shared" si="0"/>
        <v>4</v>
      </c>
      <c r="I12" s="126">
        <v>113</v>
      </c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8"/>
      <c r="X12" s="123">
        <v>117</v>
      </c>
      <c r="Y12" s="124"/>
      <c r="Z12" s="124"/>
      <c r="AA12" s="124"/>
      <c r="AB12" s="124"/>
      <c r="AC12" s="124"/>
      <c r="AD12" s="124"/>
      <c r="AE12" s="124"/>
      <c r="AF12" s="124"/>
      <c r="AG12" s="125"/>
    </row>
    <row r="13" spans="1:33" ht="26.25" customHeight="1">
      <c r="A13" s="112" t="s">
        <v>579</v>
      </c>
      <c r="B13" s="113"/>
      <c r="C13" s="29">
        <f>AVERAGE(C4:C12)</f>
        <v>110.44444444444444</v>
      </c>
      <c r="D13" s="29">
        <f>AVERAGE(D4:D12)</f>
        <v>119.97777777777777</v>
      </c>
      <c r="E13" s="29">
        <f>AVERAGE(E4:E12)</f>
        <v>9.5333333333333332</v>
      </c>
    </row>
    <row r="14" spans="1:33" ht="28.5" customHeight="1" thickBot="1">
      <c r="A14" s="107" t="s">
        <v>648</v>
      </c>
      <c r="B14" s="107"/>
      <c r="C14" s="114">
        <f>ABS(E13)</f>
        <v>9.5333333333333332</v>
      </c>
      <c r="D14" s="114"/>
      <c r="E14" s="114"/>
    </row>
    <row r="15" spans="1:33" ht="28.5" customHeight="1" thickBot="1">
      <c r="A15" s="107" t="s">
        <v>649</v>
      </c>
      <c r="B15" s="107"/>
      <c r="C15" s="104">
        <f>STDEV(E4:E12)</f>
        <v>4.9994999749975015</v>
      </c>
      <c r="D15" s="105"/>
      <c r="E15" s="106"/>
      <c r="G15">
        <f>9-D13</f>
        <v>-110.97777777777777</v>
      </c>
    </row>
    <row r="16" spans="1:33" ht="30" customHeight="1">
      <c r="A16" s="107" t="s">
        <v>650</v>
      </c>
      <c r="B16" s="107"/>
      <c r="C16" s="108">
        <f>C14/C13</f>
        <v>8.631790744466801E-2</v>
      </c>
      <c r="D16" s="108"/>
      <c r="E16" s="108"/>
    </row>
    <row r="17" spans="1:7" ht="30" customHeight="1" thickBot="1">
      <c r="A17" s="107" t="s">
        <v>651</v>
      </c>
      <c r="B17" s="107"/>
      <c r="C17" s="109">
        <f>C14</f>
        <v>9.5333333333333332</v>
      </c>
      <c r="D17" s="109"/>
      <c r="E17" s="109"/>
    </row>
    <row r="18" spans="1:7" ht="30" customHeight="1" thickBot="1">
      <c r="A18" s="102" t="s">
        <v>652</v>
      </c>
      <c r="B18" s="103"/>
      <c r="C18" s="104">
        <f>F5*C15/(G4^(1/2))</f>
        <v>3.8429489807814132</v>
      </c>
      <c r="D18" s="105"/>
      <c r="E18" s="106"/>
    </row>
    <row r="19" spans="1:7" ht="30" customHeight="1" thickBot="1">
      <c r="A19" s="107" t="s">
        <v>653</v>
      </c>
      <c r="B19" s="107"/>
      <c r="C19" s="104">
        <f>(C14+C18)/C13*100</f>
        <v>12.111322014792023</v>
      </c>
      <c r="D19" s="105"/>
      <c r="E19" s="106"/>
    </row>
    <row r="20" spans="1:7" ht="15" customHeight="1" thickBot="1"/>
    <row r="21" spans="1:7" ht="15" customHeight="1" thickBot="1">
      <c r="A21" s="99" t="s">
        <v>654</v>
      </c>
      <c r="B21" s="99" t="s">
        <v>655</v>
      </c>
      <c r="C21" s="99" t="s">
        <v>656</v>
      </c>
      <c r="D21" s="97" t="s">
        <v>657</v>
      </c>
      <c r="E21" s="98"/>
      <c r="F21" s="97" t="s">
        <v>658</v>
      </c>
      <c r="G21" s="98"/>
    </row>
    <row r="22" spans="1:7" ht="15" customHeight="1" thickBot="1">
      <c r="A22" s="101"/>
      <c r="B22" s="100"/>
      <c r="C22" s="100"/>
      <c r="D22" s="21" t="s">
        <v>659</v>
      </c>
      <c r="E22" s="25" t="s">
        <v>660</v>
      </c>
      <c r="F22" s="21" t="s">
        <v>659</v>
      </c>
      <c r="G22" s="21" t="s">
        <v>660</v>
      </c>
    </row>
    <row r="23" spans="1:7" ht="15.75" customHeight="1" thickBot="1">
      <c r="A23" s="101"/>
      <c r="B23" s="28" t="s">
        <v>661</v>
      </c>
      <c r="C23" s="9">
        <v>62.5</v>
      </c>
      <c r="D23" s="10">
        <v>63</v>
      </c>
      <c r="E23" s="10">
        <v>62</v>
      </c>
      <c r="F23" s="24">
        <f>(D23-C23)/C23*100</f>
        <v>0.8</v>
      </c>
      <c r="G23" s="24">
        <f>(E23-C23)/C23*100</f>
        <v>-0.8</v>
      </c>
    </row>
    <row r="24" spans="1:7" ht="15" customHeight="1" thickBot="1">
      <c r="A24" s="101"/>
      <c r="B24" s="21" t="s">
        <v>662</v>
      </c>
      <c r="C24" s="2">
        <v>249</v>
      </c>
      <c r="D24" s="3">
        <v>249</v>
      </c>
      <c r="E24" s="3">
        <v>249</v>
      </c>
      <c r="F24" s="24">
        <f>(D24-C24)/C24*100</f>
        <v>0</v>
      </c>
      <c r="G24" s="24">
        <f>(E24-C24)/C24*100</f>
        <v>0</v>
      </c>
    </row>
    <row r="25" spans="1:7" ht="15" customHeight="1" thickBot="1">
      <c r="A25" s="100"/>
      <c r="B25" s="21" t="s">
        <v>662</v>
      </c>
      <c r="C25" s="21" t="s">
        <v>662</v>
      </c>
      <c r="D25" s="21" t="s">
        <v>662</v>
      </c>
      <c r="E25" s="21" t="s">
        <v>662</v>
      </c>
      <c r="F25" s="21" t="s">
        <v>662</v>
      </c>
      <c r="G25" s="21" t="s">
        <v>662</v>
      </c>
    </row>
  </sheetData>
  <sheetProtection sort="0" autoFilter="0"/>
  <mergeCells count="40">
    <mergeCell ref="X10:AG10"/>
    <mergeCell ref="I11:W11"/>
    <mergeCell ref="X11:AG11"/>
    <mergeCell ref="I12:W12"/>
    <mergeCell ref="X12:AG12"/>
    <mergeCell ref="X7:AG7"/>
    <mergeCell ref="I8:W8"/>
    <mergeCell ref="X8:AG8"/>
    <mergeCell ref="I9:W9"/>
    <mergeCell ref="X9:AG9"/>
    <mergeCell ref="X4:AG4"/>
    <mergeCell ref="I5:W5"/>
    <mergeCell ref="X5:AG5"/>
    <mergeCell ref="I6:W6"/>
    <mergeCell ref="X6:AG6"/>
    <mergeCell ref="I4:W4"/>
    <mergeCell ref="I7:W7"/>
    <mergeCell ref="I10:W10"/>
    <mergeCell ref="A1:E1"/>
    <mergeCell ref="F3:G3"/>
    <mergeCell ref="F5:G5"/>
    <mergeCell ref="A13:B13"/>
    <mergeCell ref="A14:B14"/>
    <mergeCell ref="C14:E14"/>
    <mergeCell ref="F21:G21"/>
    <mergeCell ref="A2:A3"/>
    <mergeCell ref="A21:A25"/>
    <mergeCell ref="B21:B22"/>
    <mergeCell ref="C21:C22"/>
    <mergeCell ref="A18:B18"/>
    <mergeCell ref="C18:E18"/>
    <mergeCell ref="A19:B19"/>
    <mergeCell ref="C19:E19"/>
    <mergeCell ref="D21:E21"/>
    <mergeCell ref="A15:B15"/>
    <mergeCell ref="C15:E15"/>
    <mergeCell ref="A16:B16"/>
    <mergeCell ref="C16:E16"/>
    <mergeCell ref="A17:B17"/>
    <mergeCell ref="C17:E17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selection activeCell="C16" sqref="C16:E16"/>
    </sheetView>
  </sheetViews>
  <sheetFormatPr defaultColWidth="9" defaultRowHeight="16.5" customHeight="1"/>
  <cols>
    <col min="1" max="5" width="20.33203125" customWidth="1"/>
  </cols>
  <sheetData>
    <row r="1" spans="1:7" ht="15" customHeight="1">
      <c r="A1" s="110" t="s">
        <v>663</v>
      </c>
      <c r="B1" s="110"/>
      <c r="C1" s="110"/>
      <c r="D1" s="110"/>
      <c r="E1" s="110"/>
    </row>
    <row r="2" spans="1:7" ht="14.25" customHeight="1">
      <c r="A2" s="99" t="s">
        <v>599</v>
      </c>
      <c r="B2" s="16" t="s">
        <v>633</v>
      </c>
      <c r="C2" s="16" t="s">
        <v>634</v>
      </c>
      <c r="D2" s="16" t="s">
        <v>635</v>
      </c>
      <c r="E2" s="16" t="s">
        <v>636</v>
      </c>
      <c r="F2" s="18" t="s">
        <v>637</v>
      </c>
      <c r="G2" s="19">
        <v>6</v>
      </c>
    </row>
    <row r="3" spans="1:7" ht="17.25" customHeight="1">
      <c r="A3" s="100"/>
      <c r="B3" s="21" t="s">
        <v>638</v>
      </c>
      <c r="C3" s="21" t="s">
        <v>604</v>
      </c>
      <c r="D3" s="21" t="s">
        <v>604</v>
      </c>
      <c r="E3" s="21" t="s">
        <v>604</v>
      </c>
      <c r="F3" s="111">
        <v>2.5710000000000002</v>
      </c>
      <c r="G3" s="111"/>
    </row>
    <row r="4" spans="1:7" ht="15.75" customHeight="1">
      <c r="A4" s="20">
        <v>101</v>
      </c>
      <c r="B4" s="21" t="s">
        <v>639</v>
      </c>
      <c r="C4" s="9">
        <v>8</v>
      </c>
      <c r="D4" s="10">
        <v>7.35</v>
      </c>
      <c r="E4" s="24">
        <f>D4-C4</f>
        <v>-0.65000000000000036</v>
      </c>
      <c r="F4" s="18" t="s">
        <v>637</v>
      </c>
      <c r="G4" s="19">
        <v>9</v>
      </c>
    </row>
    <row r="5" spans="1:7" ht="15" customHeight="1">
      <c r="A5" s="20">
        <v>102</v>
      </c>
      <c r="B5" s="21" t="s">
        <v>640</v>
      </c>
      <c r="C5" s="12">
        <v>0</v>
      </c>
      <c r="D5" s="13">
        <v>7.26</v>
      </c>
      <c r="E5" s="24">
        <f t="shared" ref="E5:E12" si="0">D5-C5</f>
        <v>7.26</v>
      </c>
      <c r="F5" s="111">
        <v>2.306</v>
      </c>
      <c r="G5" s="111"/>
    </row>
    <row r="6" spans="1:7" ht="15" customHeight="1">
      <c r="A6" s="20">
        <v>103</v>
      </c>
      <c r="B6" s="21" t="s">
        <v>641</v>
      </c>
      <c r="C6" s="12">
        <v>3</v>
      </c>
      <c r="D6" s="13">
        <v>8</v>
      </c>
      <c r="E6" s="24">
        <f t="shared" si="0"/>
        <v>5</v>
      </c>
    </row>
    <row r="7" spans="1:7" ht="15" customHeight="1">
      <c r="A7" s="20">
        <v>104</v>
      </c>
      <c r="B7" s="21" t="s">
        <v>642</v>
      </c>
      <c r="C7" s="12">
        <v>9</v>
      </c>
      <c r="D7" s="13">
        <v>7.25</v>
      </c>
      <c r="E7" s="24">
        <f t="shared" si="0"/>
        <v>-1.75</v>
      </c>
    </row>
    <row r="8" spans="1:7" ht="15" customHeight="1">
      <c r="A8" s="20">
        <v>105</v>
      </c>
      <c r="B8" s="21" t="s">
        <v>643</v>
      </c>
      <c r="C8" s="12">
        <v>0</v>
      </c>
      <c r="D8" s="13">
        <v>7.87</v>
      </c>
      <c r="E8" s="24">
        <f t="shared" si="0"/>
        <v>7.87</v>
      </c>
    </row>
    <row r="9" spans="1:7" ht="15" customHeight="1">
      <c r="A9" s="20">
        <v>106</v>
      </c>
      <c r="B9" s="21" t="s">
        <v>644</v>
      </c>
      <c r="C9" s="12">
        <v>8</v>
      </c>
      <c r="D9" s="13">
        <v>5.55</v>
      </c>
      <c r="E9" s="24">
        <f t="shared" si="0"/>
        <v>-2.4500000000000002</v>
      </c>
    </row>
    <row r="10" spans="1:7" ht="15" customHeight="1">
      <c r="A10" s="20">
        <v>107</v>
      </c>
      <c r="B10" s="21" t="s">
        <v>645</v>
      </c>
      <c r="C10" s="12">
        <v>3</v>
      </c>
      <c r="D10" s="13">
        <v>5.01</v>
      </c>
      <c r="E10" s="24">
        <f t="shared" si="0"/>
        <v>2.0099999999999998</v>
      </c>
    </row>
    <row r="11" spans="1:7" ht="15" customHeight="1">
      <c r="A11" s="20">
        <v>108</v>
      </c>
      <c r="B11" s="21" t="s">
        <v>646</v>
      </c>
      <c r="C11" s="12">
        <v>0</v>
      </c>
      <c r="D11" s="13">
        <v>4.32</v>
      </c>
      <c r="E11" s="24">
        <f t="shared" si="0"/>
        <v>4.32</v>
      </c>
    </row>
    <row r="12" spans="1:7" ht="15" customHeight="1">
      <c r="A12" s="20">
        <v>109</v>
      </c>
      <c r="B12" s="21" t="s">
        <v>647</v>
      </c>
      <c r="C12" s="12">
        <v>0</v>
      </c>
      <c r="D12" s="13">
        <v>4.57</v>
      </c>
      <c r="E12" s="24">
        <f t="shared" si="0"/>
        <v>4.57</v>
      </c>
    </row>
    <row r="13" spans="1:7" ht="26.25" customHeight="1">
      <c r="A13" s="112" t="s">
        <v>579</v>
      </c>
      <c r="B13" s="113"/>
      <c r="C13" s="24">
        <f>AVERAGE(C4:C12)</f>
        <v>3.4444444444444446</v>
      </c>
      <c r="D13" s="24">
        <f>AVERAGE(D4:D12)</f>
        <v>6.3533333333333326</v>
      </c>
      <c r="E13" s="24">
        <f>AVERAGE(E4:E12)</f>
        <v>2.9088888888888889</v>
      </c>
    </row>
    <row r="14" spans="1:7" ht="28.5" customHeight="1">
      <c r="A14" s="107" t="s">
        <v>648</v>
      </c>
      <c r="B14" s="107"/>
      <c r="C14" s="105">
        <f>ABS(E13)</f>
        <v>2.9088888888888889</v>
      </c>
      <c r="D14" s="105"/>
      <c r="E14" s="106"/>
    </row>
    <row r="15" spans="1:7" ht="28.5" customHeight="1">
      <c r="A15" s="107" t="s">
        <v>649</v>
      </c>
      <c r="B15" s="107"/>
      <c r="C15" s="105">
        <f>STDEV(E4:E12)</f>
        <v>3.81714371108963</v>
      </c>
      <c r="D15" s="105"/>
      <c r="E15" s="106"/>
    </row>
    <row r="16" spans="1:7" ht="30" customHeight="1">
      <c r="A16" s="107" t="s">
        <v>664</v>
      </c>
      <c r="B16" s="107"/>
      <c r="C16" s="105">
        <f>C14</f>
        <v>2.9088888888888889</v>
      </c>
      <c r="D16" s="105"/>
      <c r="E16" s="106"/>
    </row>
    <row r="17" spans="1:7" ht="30" customHeight="1">
      <c r="A17" s="107" t="s">
        <v>665</v>
      </c>
      <c r="B17" s="107"/>
      <c r="C17" s="115">
        <f>C14/C13</f>
        <v>0.84451612903225803</v>
      </c>
      <c r="D17" s="108"/>
      <c r="E17" s="108"/>
    </row>
    <row r="18" spans="1:7" ht="30" customHeight="1">
      <c r="A18" s="107" t="s">
        <v>666</v>
      </c>
      <c r="B18" s="107"/>
      <c r="C18" s="105">
        <f>(C19+C14)/C13*100</f>
        <v>169.6354844945744</v>
      </c>
      <c r="D18" s="105"/>
      <c r="E18" s="106"/>
    </row>
    <row r="19" spans="1:7" ht="30" customHeight="1">
      <c r="A19" s="107" t="s">
        <v>652</v>
      </c>
      <c r="B19" s="107"/>
      <c r="C19" s="105">
        <f>F5*C15/(G4^(1/2))</f>
        <v>2.9341111325908957</v>
      </c>
      <c r="D19" s="105"/>
      <c r="E19" s="106"/>
    </row>
    <row r="20" spans="1:7" ht="15" customHeight="1"/>
    <row r="21" spans="1:7" ht="15" customHeight="1">
      <c r="A21" s="99" t="s">
        <v>654</v>
      </c>
      <c r="B21" s="99" t="s">
        <v>655</v>
      </c>
      <c r="C21" s="99" t="s">
        <v>656</v>
      </c>
      <c r="D21" s="97" t="s">
        <v>657</v>
      </c>
      <c r="E21" s="98"/>
      <c r="F21" s="97" t="s">
        <v>658</v>
      </c>
      <c r="G21" s="98"/>
    </row>
    <row r="22" spans="1:7" ht="15" customHeight="1">
      <c r="A22" s="101"/>
      <c r="B22" s="100"/>
      <c r="C22" s="100"/>
      <c r="D22" s="21" t="s">
        <v>659</v>
      </c>
      <c r="E22" s="25" t="s">
        <v>660</v>
      </c>
      <c r="F22" s="21" t="s">
        <v>659</v>
      </c>
      <c r="G22" s="21" t="s">
        <v>660</v>
      </c>
    </row>
    <row r="23" spans="1:7" ht="15" customHeight="1">
      <c r="A23" s="101"/>
      <c r="B23" s="28" t="s">
        <v>667</v>
      </c>
      <c r="C23" s="9">
        <v>157.1</v>
      </c>
      <c r="D23" s="10">
        <v>157</v>
      </c>
      <c r="E23" s="10">
        <v>157</v>
      </c>
      <c r="F23" s="21">
        <f>(D23-C23)/C23*100</f>
        <v>-6.3653723742835344E-2</v>
      </c>
      <c r="G23" s="21">
        <f>(E23-C23)/C23*100</f>
        <v>-6.3653723742835344E-2</v>
      </c>
    </row>
    <row r="24" spans="1:7" ht="15" customHeight="1">
      <c r="A24" s="101"/>
      <c r="B24" s="21" t="s">
        <v>662</v>
      </c>
      <c r="C24" s="2">
        <v>253</v>
      </c>
      <c r="D24" s="3">
        <v>252</v>
      </c>
      <c r="E24" s="3">
        <v>252</v>
      </c>
      <c r="F24" s="21">
        <f>(D24-C24)/C24*100</f>
        <v>-0.39525691699604742</v>
      </c>
      <c r="G24" s="21">
        <f>(E24-C24)/C24*100</f>
        <v>-0.39525691699604742</v>
      </c>
    </row>
    <row r="25" spans="1:7" ht="15" customHeight="1">
      <c r="A25" s="100"/>
      <c r="B25" s="21" t="s">
        <v>662</v>
      </c>
      <c r="C25" s="21" t="s">
        <v>662</v>
      </c>
      <c r="D25" s="21" t="s">
        <v>662</v>
      </c>
      <c r="E25" s="21" t="s">
        <v>662</v>
      </c>
      <c r="F25" s="21"/>
      <c r="G25" s="21"/>
    </row>
  </sheetData>
  <sheetProtection sort="0" autoFilter="0"/>
  <mergeCells count="22">
    <mergeCell ref="A1:E1"/>
    <mergeCell ref="F3:G3"/>
    <mergeCell ref="F5:G5"/>
    <mergeCell ref="A13:B13"/>
    <mergeCell ref="A14:B14"/>
    <mergeCell ref="C14:E14"/>
    <mergeCell ref="F21:G21"/>
    <mergeCell ref="A2:A3"/>
    <mergeCell ref="A21:A25"/>
    <mergeCell ref="B21:B22"/>
    <mergeCell ref="C21:C22"/>
    <mergeCell ref="A18:B18"/>
    <mergeCell ref="C18:E18"/>
    <mergeCell ref="A19:B19"/>
    <mergeCell ref="C19:E19"/>
    <mergeCell ref="D21:E21"/>
    <mergeCell ref="A15:B15"/>
    <mergeCell ref="C15:E15"/>
    <mergeCell ref="A16:B16"/>
    <mergeCell ref="C16:E16"/>
    <mergeCell ref="A17:B17"/>
    <mergeCell ref="C17:E17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>
      <selection activeCell="D13" sqref="D13"/>
    </sheetView>
  </sheetViews>
  <sheetFormatPr defaultColWidth="9" defaultRowHeight="16.5" customHeight="1"/>
  <cols>
    <col min="1" max="5" width="18.88671875" customWidth="1"/>
    <col min="6" max="7" width="14.88671875" customWidth="1"/>
  </cols>
  <sheetData>
    <row r="1" spans="1:7" ht="15" customHeight="1">
      <c r="A1" s="110" t="s">
        <v>668</v>
      </c>
      <c r="B1" s="110"/>
      <c r="C1" s="110"/>
      <c r="D1" s="110"/>
      <c r="E1" s="110"/>
    </row>
    <row r="2" spans="1:7" ht="14.25" customHeight="1">
      <c r="A2" s="99" t="s">
        <v>599</v>
      </c>
      <c r="B2" s="16" t="s">
        <v>633</v>
      </c>
      <c r="C2" s="16" t="s">
        <v>634</v>
      </c>
      <c r="D2" s="16" t="s">
        <v>635</v>
      </c>
      <c r="E2" s="17" t="s">
        <v>636</v>
      </c>
      <c r="F2" s="18" t="s">
        <v>637</v>
      </c>
      <c r="G2" s="19">
        <v>6</v>
      </c>
    </row>
    <row r="3" spans="1:7" ht="15" customHeight="1" thickBot="1">
      <c r="A3" s="100"/>
      <c r="B3" s="21" t="s">
        <v>638</v>
      </c>
      <c r="C3" s="21" t="s">
        <v>607</v>
      </c>
      <c r="D3" s="21" t="s">
        <v>607</v>
      </c>
      <c r="E3" s="22" t="s">
        <v>607</v>
      </c>
      <c r="F3" s="111">
        <v>2.5710000000000002</v>
      </c>
      <c r="G3" s="111"/>
    </row>
    <row r="4" spans="1:7" ht="15.75" customHeight="1" thickBot="1">
      <c r="A4" s="20">
        <v>101</v>
      </c>
      <c r="B4" s="21" t="s">
        <v>639</v>
      </c>
      <c r="C4" s="62">
        <v>6.3</v>
      </c>
      <c r="D4" s="58">
        <v>6.4</v>
      </c>
      <c r="E4" s="23">
        <f>D4-C4</f>
        <v>0.10000000000000053</v>
      </c>
      <c r="F4" s="18" t="s">
        <v>637</v>
      </c>
      <c r="G4" s="19">
        <v>9</v>
      </c>
    </row>
    <row r="5" spans="1:7" ht="15" customHeight="1" thickBot="1">
      <c r="A5" s="20">
        <v>102</v>
      </c>
      <c r="B5" s="21" t="s">
        <v>640</v>
      </c>
      <c r="C5" s="63">
        <v>6.5</v>
      </c>
      <c r="D5" s="59">
        <v>6.3</v>
      </c>
      <c r="E5" s="23">
        <f t="shared" ref="E5:E12" si="0">D5-C5</f>
        <v>-0.20000000000000018</v>
      </c>
      <c r="F5" s="111">
        <v>2.306</v>
      </c>
      <c r="G5" s="111"/>
    </row>
    <row r="6" spans="1:7" ht="15" customHeight="1" thickBot="1">
      <c r="A6" s="20">
        <v>103</v>
      </c>
      <c r="B6" s="21" t="s">
        <v>641</v>
      </c>
      <c r="C6" s="63">
        <v>6.5</v>
      </c>
      <c r="D6" s="59">
        <v>6.3</v>
      </c>
      <c r="E6" s="24">
        <f t="shared" si="0"/>
        <v>-0.20000000000000018</v>
      </c>
    </row>
    <row r="7" spans="1:7" ht="15" customHeight="1" thickBot="1">
      <c r="A7" s="20">
        <v>104</v>
      </c>
      <c r="B7" s="21" t="s">
        <v>642</v>
      </c>
      <c r="C7" s="63">
        <v>6.4</v>
      </c>
      <c r="D7" s="59">
        <v>6.3</v>
      </c>
      <c r="E7" s="24">
        <f t="shared" si="0"/>
        <v>-0.10000000000000053</v>
      </c>
    </row>
    <row r="8" spans="1:7" ht="15" customHeight="1" thickBot="1">
      <c r="A8" s="20">
        <v>105</v>
      </c>
      <c r="B8" s="21" t="s">
        <v>643</v>
      </c>
      <c r="C8" s="63">
        <v>6.6</v>
      </c>
      <c r="D8" s="59">
        <v>6.3</v>
      </c>
      <c r="E8" s="24">
        <f t="shared" si="0"/>
        <v>-0.29999999999999982</v>
      </c>
    </row>
    <row r="9" spans="1:7" ht="15" customHeight="1" thickBot="1">
      <c r="A9" s="20">
        <v>106</v>
      </c>
      <c r="B9" s="21" t="s">
        <v>644</v>
      </c>
      <c r="C9" s="63">
        <v>6.6</v>
      </c>
      <c r="D9" s="59">
        <v>6.3</v>
      </c>
      <c r="E9" s="24">
        <f t="shared" si="0"/>
        <v>-0.29999999999999982</v>
      </c>
    </row>
    <row r="10" spans="1:7" ht="15" customHeight="1" thickBot="1">
      <c r="A10" s="20">
        <v>107</v>
      </c>
      <c r="B10" s="21" t="s">
        <v>645</v>
      </c>
      <c r="C10" s="63">
        <v>6.6</v>
      </c>
      <c r="D10" s="59">
        <v>6.3</v>
      </c>
      <c r="E10" s="24">
        <f t="shared" si="0"/>
        <v>-0.29999999999999982</v>
      </c>
    </row>
    <row r="11" spans="1:7" ht="15" customHeight="1" thickBot="1">
      <c r="A11" s="20">
        <v>108</v>
      </c>
      <c r="B11" s="21" t="s">
        <v>646</v>
      </c>
      <c r="C11" s="63">
        <v>6.5</v>
      </c>
      <c r="D11" s="59">
        <v>6.3</v>
      </c>
      <c r="E11" s="24">
        <f t="shared" si="0"/>
        <v>-0.20000000000000018</v>
      </c>
    </row>
    <row r="12" spans="1:7" ht="15" customHeight="1" thickBot="1">
      <c r="A12" s="20">
        <v>109</v>
      </c>
      <c r="B12" s="21" t="s">
        <v>647</v>
      </c>
      <c r="C12" s="63">
        <v>6.4</v>
      </c>
      <c r="D12" s="59">
        <v>6.4</v>
      </c>
      <c r="E12" s="24">
        <f t="shared" si="0"/>
        <v>0</v>
      </c>
    </row>
    <row r="13" spans="1:7" ht="25.5" customHeight="1" thickBot="1">
      <c r="A13" s="97" t="s">
        <v>579</v>
      </c>
      <c r="B13" s="98"/>
      <c r="C13" s="24">
        <f>AVERAGE(C4:C12)</f>
        <v>6.4888888888888898</v>
      </c>
      <c r="D13" s="24">
        <f>AVERAGE(D4:D12)</f>
        <v>6.3222222222222211</v>
      </c>
      <c r="E13" s="24">
        <f>AVERAGE(E4:E12)</f>
        <v>-0.16666666666666666</v>
      </c>
    </row>
    <row r="14" spans="1:7" ht="28.5" customHeight="1">
      <c r="A14" s="97" t="s">
        <v>648</v>
      </c>
      <c r="B14" s="98"/>
      <c r="C14" s="104">
        <f>ABS(E13)</f>
        <v>0.16666666666666666</v>
      </c>
      <c r="D14" s="105"/>
      <c r="E14" s="106"/>
      <c r="G14">
        <f>9^2</f>
        <v>81</v>
      </c>
    </row>
    <row r="15" spans="1:7" ht="28.5" customHeight="1">
      <c r="A15" s="97" t="s">
        <v>649</v>
      </c>
      <c r="B15" s="98"/>
      <c r="C15" s="104">
        <f>STDEV(E4:E12)</f>
        <v>0.14142135623730956</v>
      </c>
      <c r="D15" s="105"/>
      <c r="E15" s="106"/>
    </row>
    <row r="16" spans="1:7" ht="28.5" customHeight="1">
      <c r="A16" s="97" t="s">
        <v>652</v>
      </c>
      <c r="B16" s="98"/>
      <c r="C16" s="104">
        <f>F5*C15/(G4^(1/2))</f>
        <v>0.10870588249441195</v>
      </c>
      <c r="D16" s="105"/>
      <c r="E16" s="106"/>
    </row>
    <row r="17" spans="1:7" ht="24" customHeight="1">
      <c r="A17" s="97" t="s">
        <v>669</v>
      </c>
      <c r="B17" s="98"/>
      <c r="C17" s="104">
        <f>C14</f>
        <v>0.16666666666666666</v>
      </c>
      <c r="D17" s="105"/>
      <c r="E17" s="106"/>
    </row>
    <row r="18" spans="1:7" ht="28.5" customHeight="1">
      <c r="A18" s="97" t="s">
        <v>670</v>
      </c>
      <c r="B18" s="98"/>
      <c r="C18" s="104">
        <f>(C14+C16)/C13*100</f>
        <v>4.2437550384412797</v>
      </c>
      <c r="D18" s="105"/>
      <c r="E18" s="106"/>
    </row>
    <row r="20" spans="1:7" ht="15" customHeight="1">
      <c r="A20" s="99" t="s">
        <v>654</v>
      </c>
      <c r="B20" s="99" t="s">
        <v>655</v>
      </c>
      <c r="C20" s="99" t="s">
        <v>656</v>
      </c>
      <c r="D20" s="97" t="s">
        <v>657</v>
      </c>
      <c r="E20" s="98"/>
      <c r="F20" s="97" t="s">
        <v>658</v>
      </c>
      <c r="G20" s="98"/>
    </row>
    <row r="21" spans="1:7" ht="15" customHeight="1">
      <c r="A21" s="101"/>
      <c r="B21" s="100"/>
      <c r="C21" s="100"/>
      <c r="D21" s="21" t="s">
        <v>659</v>
      </c>
      <c r="E21" s="25" t="s">
        <v>660</v>
      </c>
      <c r="F21" s="21" t="s">
        <v>659</v>
      </c>
      <c r="G21" s="21" t="s">
        <v>660</v>
      </c>
    </row>
    <row r="22" spans="1:7" ht="15.75" customHeight="1">
      <c r="A22" s="101"/>
      <c r="B22" s="21" t="s">
        <v>671</v>
      </c>
      <c r="C22" s="26">
        <v>6</v>
      </c>
      <c r="D22" s="27">
        <v>6.1</v>
      </c>
      <c r="E22" s="27">
        <v>6</v>
      </c>
      <c r="F22" s="21">
        <f>(D22-C22)/C22*100</f>
        <v>1.6666666666666607</v>
      </c>
      <c r="G22" s="21">
        <f>(E22-C22)/C22*100</f>
        <v>0</v>
      </c>
    </row>
    <row r="23" spans="1:7" ht="15" customHeight="1">
      <c r="A23" s="101"/>
      <c r="B23" s="21" t="s">
        <v>662</v>
      </c>
      <c r="C23" s="21" t="s">
        <v>662</v>
      </c>
      <c r="D23" s="21" t="s">
        <v>662</v>
      </c>
      <c r="E23" s="21" t="s">
        <v>662</v>
      </c>
      <c r="F23" s="21" t="s">
        <v>662</v>
      </c>
      <c r="G23" s="21" t="s">
        <v>662</v>
      </c>
    </row>
    <row r="24" spans="1:7" ht="15" customHeight="1">
      <c r="A24" s="100"/>
      <c r="B24" s="21" t="s">
        <v>662</v>
      </c>
      <c r="C24" s="21" t="s">
        <v>662</v>
      </c>
      <c r="D24" s="21" t="s">
        <v>662</v>
      </c>
      <c r="E24" s="21" t="s">
        <v>662</v>
      </c>
      <c r="F24" s="21" t="s">
        <v>662</v>
      </c>
      <c r="G24" s="21" t="s">
        <v>662</v>
      </c>
    </row>
    <row r="27" spans="1:7" ht="16.5" customHeight="1">
      <c r="B27" s="9">
        <v>1.0900000000000001</v>
      </c>
    </row>
    <row r="28" spans="1:7" ht="16.5" customHeight="1">
      <c r="B28" s="12">
        <v>0.26</v>
      </c>
    </row>
    <row r="29" spans="1:7" ht="16.5" customHeight="1">
      <c r="B29" s="12">
        <v>0.19</v>
      </c>
    </row>
    <row r="30" spans="1:7" ht="16.5" customHeight="1">
      <c r="B30" s="12">
        <v>0.44</v>
      </c>
    </row>
    <row r="31" spans="1:7" ht="16.5" customHeight="1">
      <c r="B31" s="12">
        <v>0.15</v>
      </c>
    </row>
    <row r="32" spans="1:7" ht="16.5" customHeight="1">
      <c r="B32" s="12">
        <v>0.39</v>
      </c>
    </row>
    <row r="33" spans="2:2" ht="16.5" customHeight="1">
      <c r="B33" s="12">
        <v>0.22</v>
      </c>
    </row>
    <row r="34" spans="2:2" ht="16.5" customHeight="1">
      <c r="B34" s="12">
        <v>0.31</v>
      </c>
    </row>
    <row r="35" spans="2:2" ht="16.5" customHeight="1">
      <c r="B35" s="12">
        <v>0.21</v>
      </c>
    </row>
    <row r="36" spans="2:2" ht="16.5" customHeight="1">
      <c r="B36">
        <f>STDEV(B27:B35)</f>
        <v>0.28891078976812973</v>
      </c>
    </row>
  </sheetData>
  <sheetProtection sort="0" autoFilter="0"/>
  <mergeCells count="20">
    <mergeCell ref="A1:E1"/>
    <mergeCell ref="F3:G3"/>
    <mergeCell ref="F5:G5"/>
    <mergeCell ref="A13:B13"/>
    <mergeCell ref="A14:B14"/>
    <mergeCell ref="C14:E14"/>
    <mergeCell ref="A18:B18"/>
    <mergeCell ref="C18:E18"/>
    <mergeCell ref="D20:E20"/>
    <mergeCell ref="F20:G20"/>
    <mergeCell ref="A2:A3"/>
    <mergeCell ref="A20:A24"/>
    <mergeCell ref="B20:B21"/>
    <mergeCell ref="C20:C21"/>
    <mergeCell ref="A15:B15"/>
    <mergeCell ref="C15:E15"/>
    <mergeCell ref="A16:B16"/>
    <mergeCell ref="C16:E16"/>
    <mergeCell ref="A17:B17"/>
    <mergeCell ref="C17:E17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D20" sqref="D20"/>
    </sheetView>
  </sheetViews>
  <sheetFormatPr defaultColWidth="13.33203125" defaultRowHeight="16.5" customHeight="1"/>
  <cols>
    <col min="1" max="1" width="15.6640625" customWidth="1"/>
    <col min="2" max="2" width="20.88671875" customWidth="1"/>
    <col min="3" max="3" width="30.6640625" customWidth="1"/>
    <col min="4" max="4" width="19.21875" customWidth="1"/>
    <col min="5" max="5" width="9.5546875" customWidth="1"/>
    <col min="8" max="8" width="22.6640625" customWidth="1"/>
  </cols>
  <sheetData>
    <row r="1" spans="1:8" ht="16.5" customHeight="1">
      <c r="A1" s="116" t="s">
        <v>672</v>
      </c>
      <c r="B1" s="116"/>
      <c r="C1" s="6" t="s">
        <v>673</v>
      </c>
      <c r="D1" s="6" t="s">
        <v>674</v>
      </c>
      <c r="E1" s="6" t="s">
        <v>675</v>
      </c>
      <c r="F1" s="6" t="s">
        <v>676</v>
      </c>
      <c r="G1" s="6" t="s">
        <v>677</v>
      </c>
      <c r="H1" s="7" t="s">
        <v>678</v>
      </c>
    </row>
    <row r="2" spans="1:8" ht="16.5" customHeight="1">
      <c r="A2" s="117" t="s">
        <v>663</v>
      </c>
      <c r="B2" s="119" t="s">
        <v>679</v>
      </c>
      <c r="C2" s="9">
        <v>111.4</v>
      </c>
      <c r="D2" s="10">
        <v>111.3</v>
      </c>
      <c r="E2" s="8">
        <f>(D2-C2)/C2*100</f>
        <v>-8.9766606822269765E-2</v>
      </c>
      <c r="F2" s="119" t="s">
        <v>680</v>
      </c>
      <c r="G2" s="8" t="s">
        <v>681</v>
      </c>
      <c r="H2" s="11">
        <v>410</v>
      </c>
    </row>
    <row r="3" spans="1:8" ht="16.5" customHeight="1">
      <c r="A3" s="118"/>
      <c r="B3" s="119"/>
      <c r="C3" s="12">
        <v>214.3</v>
      </c>
      <c r="D3" s="13">
        <v>214.4</v>
      </c>
      <c r="E3" s="8">
        <f>(D3-C3)/C3*100</f>
        <v>4.6663555762946479E-2</v>
      </c>
      <c r="F3" s="119"/>
      <c r="G3" s="8" t="s">
        <v>681</v>
      </c>
      <c r="H3" s="11" t="s">
        <v>682</v>
      </c>
    </row>
    <row r="4" spans="1:8" ht="16.5" customHeight="1">
      <c r="A4" s="118"/>
      <c r="B4" s="119"/>
      <c r="C4" s="12">
        <v>432.9</v>
      </c>
      <c r="D4" s="13">
        <v>432.9</v>
      </c>
      <c r="E4" s="8">
        <f>(D4-C4)/C4*100</f>
        <v>0</v>
      </c>
      <c r="F4" s="119"/>
      <c r="G4" s="8" t="s">
        <v>681</v>
      </c>
      <c r="H4" s="11">
        <v>572</v>
      </c>
    </row>
    <row r="5" spans="1:8" ht="16.5" customHeight="1">
      <c r="A5" s="118"/>
      <c r="B5" s="8" t="s">
        <v>683</v>
      </c>
      <c r="C5" s="14" t="s">
        <v>662</v>
      </c>
      <c r="D5" s="13">
        <v>111</v>
      </c>
      <c r="E5" s="8" t="s">
        <v>684</v>
      </c>
      <c r="F5" s="8" t="s">
        <v>685</v>
      </c>
      <c r="G5" s="8" t="s">
        <v>681</v>
      </c>
      <c r="H5" s="7" t="s">
        <v>617</v>
      </c>
    </row>
    <row r="6" spans="1:8" ht="16.5" customHeight="1">
      <c r="A6" s="118"/>
      <c r="B6" s="8" t="s">
        <v>686</v>
      </c>
      <c r="C6" s="12">
        <v>0.7</v>
      </c>
      <c r="D6" s="13">
        <v>1.4</v>
      </c>
      <c r="E6" s="8">
        <f>D6/H4*100</f>
        <v>0.24475524475524474</v>
      </c>
      <c r="F6" s="8" t="s">
        <v>680</v>
      </c>
      <c r="G6" s="8" t="s">
        <v>681</v>
      </c>
      <c r="H6" s="11">
        <v>100</v>
      </c>
    </row>
    <row r="7" spans="1:8" ht="16.5" customHeight="1">
      <c r="A7" s="118"/>
      <c r="B7" s="8" t="s">
        <v>687</v>
      </c>
      <c r="C7" s="12">
        <v>432.9</v>
      </c>
      <c r="D7" s="13">
        <v>1.2</v>
      </c>
      <c r="E7" s="8">
        <f>D7/H4*100</f>
        <v>0.20979020979020979</v>
      </c>
      <c r="F7" s="8" t="s">
        <v>680</v>
      </c>
      <c r="G7" s="8" t="s">
        <v>681</v>
      </c>
      <c r="H7" s="11" t="s">
        <v>688</v>
      </c>
    </row>
    <row r="8" spans="1:8" ht="16.5" customHeight="1">
      <c r="A8" s="117" t="s">
        <v>632</v>
      </c>
      <c r="B8" s="119" t="s">
        <v>679</v>
      </c>
      <c r="C8" s="12">
        <v>69.599999999999994</v>
      </c>
      <c r="D8" s="13">
        <v>69.400000000000006</v>
      </c>
      <c r="E8" s="8">
        <f>(D8-C8)/C8*100</f>
        <v>-0.28735632183906412</v>
      </c>
      <c r="F8" s="119" t="s">
        <v>689</v>
      </c>
      <c r="G8" s="8" t="s">
        <v>681</v>
      </c>
      <c r="H8" s="15">
        <v>25</v>
      </c>
    </row>
    <row r="9" spans="1:8" ht="16.5" customHeight="1">
      <c r="A9" s="118"/>
      <c r="B9" s="119"/>
      <c r="C9" s="12">
        <v>133.9</v>
      </c>
      <c r="D9" s="13">
        <v>133.5</v>
      </c>
      <c r="E9" s="8">
        <f>(D9-C9)/C9*100</f>
        <v>-0.29873039581777866</v>
      </c>
      <c r="F9" s="119"/>
      <c r="G9" s="8" t="s">
        <v>681</v>
      </c>
    </row>
    <row r="10" spans="1:8" ht="16.5" customHeight="1">
      <c r="A10" s="118"/>
      <c r="B10" s="119"/>
      <c r="C10" s="12">
        <v>270.5</v>
      </c>
      <c r="D10" s="13">
        <v>270.5</v>
      </c>
      <c r="E10" s="8">
        <f>(D10-C10)/C10*100</f>
        <v>0</v>
      </c>
      <c r="F10" s="119"/>
      <c r="G10" s="8" t="s">
        <v>681</v>
      </c>
    </row>
    <row r="11" spans="1:8" ht="16.5" customHeight="1">
      <c r="A11" s="118"/>
      <c r="B11" s="8" t="s">
        <v>683</v>
      </c>
      <c r="C11" s="14" t="s">
        <v>662</v>
      </c>
      <c r="D11" s="13">
        <v>105</v>
      </c>
      <c r="E11" s="8" t="s">
        <v>684</v>
      </c>
      <c r="F11" s="8" t="s">
        <v>685</v>
      </c>
      <c r="G11" s="8" t="s">
        <v>681</v>
      </c>
    </row>
    <row r="12" spans="1:8" ht="16.5" customHeight="1">
      <c r="A12" s="118"/>
      <c r="B12" s="8" t="s">
        <v>690</v>
      </c>
      <c r="C12" s="12">
        <v>0.4</v>
      </c>
      <c r="D12" s="13">
        <v>0.8</v>
      </c>
      <c r="E12" s="8">
        <f>D12/H2*100</f>
        <v>0.19512195121951223</v>
      </c>
      <c r="F12" s="8" t="s">
        <v>680</v>
      </c>
      <c r="G12" s="8" t="s">
        <v>681</v>
      </c>
    </row>
    <row r="13" spans="1:8" ht="16.5" customHeight="1">
      <c r="A13" s="118"/>
      <c r="B13" s="8" t="s">
        <v>687</v>
      </c>
      <c r="C13" s="12">
        <v>270.5</v>
      </c>
      <c r="D13" s="13">
        <v>0.4</v>
      </c>
      <c r="E13" s="8">
        <f>D13/H2*100</f>
        <v>9.7560975609756115E-2</v>
      </c>
      <c r="F13" s="8" t="s">
        <v>680</v>
      </c>
      <c r="G13" s="8" t="s">
        <v>681</v>
      </c>
    </row>
    <row r="14" spans="1:8" ht="16.5" customHeight="1">
      <c r="A14" s="118" t="s">
        <v>691</v>
      </c>
      <c r="B14" s="119" t="s">
        <v>679</v>
      </c>
      <c r="C14" s="12">
        <v>6</v>
      </c>
      <c r="D14" s="13">
        <v>6.3</v>
      </c>
      <c r="E14" s="8">
        <f>(D14-C14)/C14*100</f>
        <v>4.9999999999999964</v>
      </c>
      <c r="F14" s="8" t="s">
        <v>689</v>
      </c>
      <c r="G14" s="8" t="s">
        <v>681</v>
      </c>
    </row>
    <row r="15" spans="1:8" ht="16.5" customHeight="1">
      <c r="A15" s="118"/>
      <c r="B15" s="119"/>
      <c r="C15" s="12">
        <v>15</v>
      </c>
      <c r="D15" s="13">
        <v>15.1</v>
      </c>
      <c r="E15" s="8">
        <f>(D15-C15)/C15*100</f>
        <v>0.6666666666666643</v>
      </c>
      <c r="F15" s="8" t="s">
        <v>689</v>
      </c>
      <c r="G15" s="8" t="s">
        <v>681</v>
      </c>
    </row>
    <row r="16" spans="1:8" ht="16.5" customHeight="1">
      <c r="A16" s="118"/>
      <c r="B16" s="119"/>
      <c r="C16" s="12">
        <v>25</v>
      </c>
      <c r="D16" s="13">
        <v>25.4</v>
      </c>
      <c r="E16" s="8">
        <f>(D16-C16)/C16*100</f>
        <v>1.5999999999999945</v>
      </c>
      <c r="F16" s="8" t="s">
        <v>689</v>
      </c>
      <c r="G16" s="8" t="s">
        <v>681</v>
      </c>
    </row>
    <row r="17" spans="1:7" ht="16.5" customHeight="1">
      <c r="A17" s="118"/>
      <c r="B17" s="8" t="s">
        <v>683</v>
      </c>
      <c r="C17" s="14" t="s">
        <v>662</v>
      </c>
      <c r="D17" s="13">
        <v>111</v>
      </c>
      <c r="E17" s="8" t="s">
        <v>684</v>
      </c>
      <c r="F17" s="8" t="s">
        <v>685</v>
      </c>
      <c r="G17" s="8" t="s">
        <v>681</v>
      </c>
    </row>
    <row r="18" spans="1:7" ht="16.5" customHeight="1">
      <c r="A18" s="118"/>
      <c r="B18" s="8" t="s">
        <v>690</v>
      </c>
      <c r="C18" s="12">
        <v>0.6</v>
      </c>
      <c r="D18" s="13">
        <v>0.3</v>
      </c>
      <c r="E18" s="8">
        <f>D18/H8*100</f>
        <v>1.2</v>
      </c>
      <c r="F18" s="8" t="s">
        <v>680</v>
      </c>
      <c r="G18" s="8" t="s">
        <v>681</v>
      </c>
    </row>
    <row r="19" spans="1:7" ht="16.5" customHeight="1">
      <c r="A19" s="118"/>
      <c r="B19" s="8" t="s">
        <v>687</v>
      </c>
      <c r="C19" s="12">
        <v>6</v>
      </c>
      <c r="D19" s="13">
        <v>0.4</v>
      </c>
      <c r="E19" s="8">
        <f>D19/H8*100</f>
        <v>1.6</v>
      </c>
      <c r="F19" s="8" t="s">
        <v>680</v>
      </c>
      <c r="G19" s="8" t="s">
        <v>681</v>
      </c>
    </row>
  </sheetData>
  <sheetProtection sort="0" autoFilter="0"/>
  <mergeCells count="9">
    <mergeCell ref="F2:F4"/>
    <mergeCell ref="F8:F10"/>
    <mergeCell ref="A1:B1"/>
    <mergeCell ref="A2:A7"/>
    <mergeCell ref="A8:A13"/>
    <mergeCell ref="A14:A19"/>
    <mergeCell ref="B2:B4"/>
    <mergeCell ref="B8:B10"/>
    <mergeCell ref="B14:B16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>
      <selection sqref="A1:H1"/>
    </sheetView>
  </sheetViews>
  <sheetFormatPr defaultColWidth="13.33203125" defaultRowHeight="16.5" customHeight="1"/>
  <cols>
    <col min="8" max="8" width="24.6640625" customWidth="1"/>
  </cols>
  <sheetData>
    <row r="1" spans="1:8" ht="16.5" customHeight="1">
      <c r="A1" s="120" t="s">
        <v>692</v>
      </c>
      <c r="B1" s="120"/>
      <c r="C1" s="120"/>
      <c r="D1" s="120"/>
      <c r="E1" s="120"/>
      <c r="F1" s="120"/>
      <c r="G1" s="120"/>
      <c r="H1" s="120"/>
    </row>
    <row r="2" spans="1:8" ht="16.5" customHeight="1">
      <c r="A2" s="2" t="s">
        <v>693</v>
      </c>
      <c r="B2" s="3" t="s">
        <v>694</v>
      </c>
      <c r="C2" s="3" t="s">
        <v>695</v>
      </c>
      <c r="D2" s="3" t="s">
        <v>696</v>
      </c>
      <c r="E2" s="3" t="s">
        <v>697</v>
      </c>
      <c r="F2" s="3" t="s">
        <v>698</v>
      </c>
      <c r="G2" s="3" t="s">
        <v>699</v>
      </c>
      <c r="H2" s="3" t="s">
        <v>700</v>
      </c>
    </row>
    <row r="3" spans="1:8" ht="18" customHeight="1">
      <c r="A3" s="2"/>
      <c r="B3" s="3"/>
      <c r="C3" s="1">
        <v>84.14</v>
      </c>
      <c r="D3" s="4">
        <v>80</v>
      </c>
      <c r="E3" s="3">
        <f t="shared" ref="E3:E8" si="0">C3-D3</f>
        <v>4.1400000000000006</v>
      </c>
      <c r="F3" s="3">
        <f t="shared" ref="F3:F8" si="1">E3/D3*100</f>
        <v>5.1750000000000007</v>
      </c>
      <c r="G3" s="3" t="s">
        <v>681</v>
      </c>
      <c r="H3" s="122"/>
    </row>
    <row r="4" spans="1:8" ht="18" customHeight="1">
      <c r="A4" s="2"/>
      <c r="B4" s="3"/>
      <c r="C4" s="2">
        <v>80.61</v>
      </c>
      <c r="D4" s="3">
        <v>92</v>
      </c>
      <c r="E4" s="3">
        <f t="shared" si="0"/>
        <v>-11.39</v>
      </c>
      <c r="F4" s="3">
        <f t="shared" si="1"/>
        <v>-12.380434782608695</v>
      </c>
      <c r="G4" s="3" t="s">
        <v>681</v>
      </c>
      <c r="H4" s="122"/>
    </row>
    <row r="5" spans="1:8" ht="16.5" customHeight="1">
      <c r="A5" s="2"/>
      <c r="B5" s="3"/>
      <c r="C5" s="2">
        <v>81.7</v>
      </c>
      <c r="D5" s="3">
        <v>90</v>
      </c>
      <c r="E5" s="3">
        <f t="shared" si="0"/>
        <v>-8.2999999999999972</v>
      </c>
      <c r="F5" s="3">
        <f t="shared" si="1"/>
        <v>-9.2222222222222197</v>
      </c>
      <c r="G5" s="3" t="s">
        <v>681</v>
      </c>
      <c r="H5" s="122"/>
    </row>
    <row r="6" spans="1:8" ht="16.5" customHeight="1">
      <c r="A6" s="5"/>
      <c r="B6" s="3"/>
      <c r="C6" s="2">
        <v>79.67</v>
      </c>
      <c r="D6" s="3">
        <v>88</v>
      </c>
      <c r="E6" s="3">
        <f t="shared" si="0"/>
        <v>-8.3299999999999983</v>
      </c>
      <c r="F6" s="3">
        <f t="shared" si="1"/>
        <v>-9.4659090909090882</v>
      </c>
      <c r="G6" s="3" t="s">
        <v>681</v>
      </c>
      <c r="H6" s="122"/>
    </row>
    <row r="7" spans="1:8" ht="16.5" customHeight="1">
      <c r="A7" s="5"/>
      <c r="B7" s="3"/>
      <c r="C7" s="2">
        <v>80.569999999999993</v>
      </c>
      <c r="D7" s="3">
        <v>89</v>
      </c>
      <c r="E7" s="3">
        <f t="shared" si="0"/>
        <v>-8.4300000000000068</v>
      </c>
      <c r="F7" s="3">
        <f t="shared" si="1"/>
        <v>-9.4719101123595575</v>
      </c>
      <c r="G7" s="3" t="s">
        <v>681</v>
      </c>
      <c r="H7" s="122"/>
    </row>
    <row r="8" spans="1:8" ht="16.5" customHeight="1">
      <c r="A8" s="5"/>
      <c r="B8" s="3"/>
      <c r="C8" s="2">
        <v>81.040000000000006</v>
      </c>
      <c r="D8" s="3">
        <v>89</v>
      </c>
      <c r="E8" s="3">
        <f t="shared" si="0"/>
        <v>-7.9599999999999937</v>
      </c>
      <c r="F8" s="3">
        <f t="shared" si="1"/>
        <v>-8.9438202247190937</v>
      </c>
      <c r="G8" s="3" t="s">
        <v>681</v>
      </c>
      <c r="H8" s="122"/>
    </row>
    <row r="9" spans="1:8" ht="16.5" customHeight="1">
      <c r="A9" s="121" t="s">
        <v>701</v>
      </c>
      <c r="B9" s="121"/>
      <c r="C9" s="121"/>
      <c r="D9" s="121"/>
      <c r="E9" s="121"/>
      <c r="F9" s="121"/>
      <c r="G9" s="121"/>
      <c r="H9" s="121"/>
    </row>
    <row r="10" spans="1:8" ht="16.5" customHeight="1">
      <c r="A10" s="2" t="s">
        <v>702</v>
      </c>
      <c r="B10" s="3" t="s">
        <v>703</v>
      </c>
      <c r="C10" s="3" t="s">
        <v>695</v>
      </c>
      <c r="D10" s="3" t="s">
        <v>704</v>
      </c>
      <c r="E10" s="3" t="s">
        <v>697</v>
      </c>
      <c r="F10" s="3" t="s">
        <v>698</v>
      </c>
      <c r="G10" s="3" t="s">
        <v>699</v>
      </c>
      <c r="H10" s="3" t="s">
        <v>700</v>
      </c>
    </row>
    <row r="11" spans="1:8" ht="18" customHeight="1">
      <c r="A11" s="5"/>
      <c r="B11" s="3"/>
      <c r="C11" s="1">
        <v>205.5</v>
      </c>
      <c r="D11" s="4">
        <v>200</v>
      </c>
      <c r="E11" s="3">
        <f>C11-D11</f>
        <v>5.5</v>
      </c>
      <c r="F11" s="3">
        <f>E11/D11*100</f>
        <v>2.75</v>
      </c>
      <c r="G11" s="3" t="s">
        <v>681</v>
      </c>
      <c r="H11" s="122"/>
    </row>
    <row r="12" spans="1:8" ht="16.5" customHeight="1">
      <c r="A12" s="2"/>
      <c r="B12" s="3"/>
      <c r="C12" s="2">
        <v>208</v>
      </c>
      <c r="D12" s="3">
        <v>200</v>
      </c>
      <c r="E12" s="3">
        <f>C12-D12</f>
        <v>8</v>
      </c>
      <c r="F12" s="3">
        <f>E12/D12*100</f>
        <v>4</v>
      </c>
      <c r="G12" s="3" t="s">
        <v>681</v>
      </c>
      <c r="H12" s="122"/>
    </row>
    <row r="13" spans="1:8" ht="16.5" customHeight="1">
      <c r="A13" s="2"/>
      <c r="B13" s="3"/>
      <c r="C13" s="2">
        <v>206</v>
      </c>
      <c r="D13" s="3">
        <v>200</v>
      </c>
      <c r="E13" s="3">
        <f>C13-D13</f>
        <v>6</v>
      </c>
      <c r="F13" s="3">
        <f>E13/D13*100</f>
        <v>3</v>
      </c>
      <c r="G13" s="3" t="s">
        <v>681</v>
      </c>
      <c r="H13" s="122"/>
    </row>
    <row r="14" spans="1:8" ht="16.5" customHeight="1">
      <c r="A14" s="2"/>
      <c r="B14" s="3"/>
      <c r="C14" s="2">
        <v>927.8</v>
      </c>
      <c r="D14" s="3">
        <v>1000</v>
      </c>
      <c r="E14" s="3">
        <f>C14-D14</f>
        <v>-72.200000000000045</v>
      </c>
      <c r="F14" s="3">
        <f>E14/D14*100</f>
        <v>-7.2200000000000042</v>
      </c>
      <c r="G14" s="3" t="s">
        <v>681</v>
      </c>
      <c r="H14" s="122"/>
    </row>
    <row r="15" spans="1:8" ht="16.5" customHeight="1">
      <c r="A15" s="2"/>
      <c r="B15" s="3"/>
      <c r="C15" s="2">
        <v>935</v>
      </c>
      <c r="D15" s="3">
        <v>1000</v>
      </c>
      <c r="E15" s="3">
        <f>C15-D15</f>
        <v>-65</v>
      </c>
      <c r="F15" s="3">
        <f>E15/D15*100</f>
        <v>-6.5</v>
      </c>
      <c r="G15" s="3" t="s">
        <v>681</v>
      </c>
      <c r="H15" s="122"/>
    </row>
    <row r="16" spans="1:8" ht="16.5" customHeight="1">
      <c r="A16" s="121" t="s">
        <v>705</v>
      </c>
      <c r="B16" s="121"/>
      <c r="C16" s="121"/>
      <c r="D16" s="121"/>
      <c r="E16" s="121"/>
      <c r="F16" s="121"/>
      <c r="G16" s="121"/>
      <c r="H16" s="121"/>
    </row>
  </sheetData>
  <sheetProtection sort="0" autoFilter="0"/>
  <mergeCells count="5">
    <mergeCell ref="A1:H1"/>
    <mergeCell ref="A9:H9"/>
    <mergeCell ref="A16:H16"/>
    <mergeCell ref="H3:H8"/>
    <mergeCell ref="H11:H15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有组织废气</vt:lpstr>
      <vt:lpstr>比对  颗粒物、流速、温度</vt:lpstr>
      <vt:lpstr>比对氮氧化物</vt:lpstr>
      <vt:lpstr>比对二氧化硫</vt:lpstr>
      <vt:lpstr>比对含氧量</vt:lpstr>
      <vt:lpstr>示值误差、量程漂移</vt:lpstr>
      <vt:lpstr>水质在线比对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仪衡 钧</cp:lastModifiedBy>
  <dcterms:created xsi:type="dcterms:W3CDTF">2020-10-25T08:56:22Z</dcterms:created>
  <dcterms:modified xsi:type="dcterms:W3CDTF">2025-12-03T03:01:46Z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