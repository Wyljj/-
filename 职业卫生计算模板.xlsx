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dministrator\OneDrive\Desktop\计算模板\"/>
    </mc:Choice>
  </mc:AlternateContent>
  <xr:revisionPtr revIDLastSave="0" documentId="13_ncr:1_{17321838-15AE-47F8-BDA2-431FB3CB9F2D}" xr6:coauthVersionLast="47" xr6:coauthVersionMax="47" xr10:uidLastSave="{00000000-0000-0000-0000-000000000000}"/>
  <bookViews>
    <workbookView xWindow="17110" yWindow="0" windowWidth="17380" windowHeight="13770" activeTab="1" xr2:uid="{00000000-000D-0000-FFFF-FFFF00000000}"/>
  </bookViews>
  <sheets>
    <sheet name="化学因素" sheetId="1" r:id="rId1"/>
    <sheet name="物理因素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5" i="1" l="1"/>
  <c r="H36" i="1"/>
  <c r="H37" i="1"/>
  <c r="J34" i="1"/>
  <c r="H34" i="1"/>
  <c r="G35" i="2"/>
  <c r="G20" i="2"/>
  <c r="E26" i="2" s="1"/>
  <c r="G19" i="2"/>
  <c r="E25" i="2" s="1"/>
  <c r="G18" i="2"/>
  <c r="E24" i="2" s="1"/>
  <c r="N2" i="3" l="1"/>
  <c r="N3" i="3"/>
  <c r="N4" i="3"/>
  <c r="N5" i="3"/>
  <c r="N6" i="3"/>
  <c r="N7" i="3"/>
  <c r="N8" i="3"/>
  <c r="N9" i="3"/>
  <c r="N10" i="3"/>
  <c r="N11" i="3"/>
  <c r="N1" i="3"/>
  <c r="H2" i="3"/>
  <c r="I2" i="3"/>
  <c r="J2" i="3"/>
  <c r="K2" i="3"/>
  <c r="L2" i="3"/>
  <c r="M2" i="3"/>
  <c r="H3" i="3"/>
  <c r="I3" i="3"/>
  <c r="J3" i="3"/>
  <c r="K3" i="3"/>
  <c r="L3" i="3"/>
  <c r="M3" i="3"/>
  <c r="H4" i="3"/>
  <c r="I4" i="3"/>
  <c r="J4" i="3"/>
  <c r="K4" i="3"/>
  <c r="L4" i="3"/>
  <c r="M4" i="3"/>
  <c r="H5" i="3"/>
  <c r="I5" i="3"/>
  <c r="J5" i="3"/>
  <c r="K5" i="3"/>
  <c r="L5" i="3"/>
  <c r="M5" i="3"/>
  <c r="H6" i="3"/>
  <c r="I6" i="3"/>
  <c r="J6" i="3"/>
  <c r="K6" i="3"/>
  <c r="L6" i="3"/>
  <c r="M6" i="3"/>
  <c r="H7" i="3"/>
  <c r="I7" i="3"/>
  <c r="J7" i="3"/>
  <c r="K7" i="3"/>
  <c r="L7" i="3"/>
  <c r="M7" i="3"/>
  <c r="H8" i="3"/>
  <c r="I8" i="3"/>
  <c r="J8" i="3"/>
  <c r="K8" i="3"/>
  <c r="L8" i="3"/>
  <c r="M8" i="3"/>
  <c r="H9" i="3"/>
  <c r="I9" i="3"/>
  <c r="J9" i="3"/>
  <c r="K9" i="3"/>
  <c r="L9" i="3"/>
  <c r="M9" i="3"/>
  <c r="H10" i="3"/>
  <c r="I10" i="3"/>
  <c r="J10" i="3"/>
  <c r="K10" i="3"/>
  <c r="L10" i="3"/>
  <c r="M10" i="3"/>
  <c r="H11" i="3"/>
  <c r="I11" i="3"/>
  <c r="J11" i="3"/>
  <c r="K11" i="3"/>
  <c r="L11" i="3"/>
  <c r="M11" i="3"/>
  <c r="I1" i="3"/>
  <c r="J1" i="3"/>
  <c r="K1" i="3"/>
  <c r="L1" i="3"/>
  <c r="M1" i="3"/>
  <c r="H1" i="3"/>
  <c r="G11" i="1"/>
  <c r="F30" i="2"/>
  <c r="F41" i="2"/>
  <c r="F27" i="2"/>
  <c r="F38" i="2"/>
  <c r="F35" i="2"/>
  <c r="F72" i="2"/>
  <c r="G64" i="2"/>
  <c r="G61" i="2"/>
  <c r="G58" i="2"/>
  <c r="G55" i="2"/>
  <c r="H55" i="2" s="1"/>
  <c r="J55" i="2" s="1"/>
  <c r="L11" i="1"/>
  <c r="I11" i="1" s="1"/>
  <c r="M11" i="1"/>
  <c r="N11" i="1"/>
  <c r="L6" i="1"/>
  <c r="I6" i="1" s="1"/>
  <c r="M6" i="1"/>
  <c r="N6" i="1"/>
  <c r="F11" i="1"/>
  <c r="F16" i="1"/>
  <c r="F21" i="1"/>
  <c r="G6" i="1"/>
  <c r="K6" i="1" s="1"/>
  <c r="K11" i="1" l="1"/>
  <c r="O11" i="1"/>
  <c r="I35" i="2"/>
  <c r="H58" i="2"/>
  <c r="J58" i="2" s="1"/>
  <c r="O6" i="1"/>
  <c r="F12" i="2"/>
  <c r="G12" i="2" s="1"/>
  <c r="I12" i="2" s="1"/>
  <c r="F7" i="2" l="1"/>
  <c r="G7" i="2" s="1"/>
  <c r="I7" i="2" s="1"/>
  <c r="F24" i="2"/>
  <c r="G24" i="2" s="1"/>
  <c r="I24" i="2" s="1"/>
</calcChain>
</file>

<file path=xl/sharedStrings.xml><?xml version="1.0" encoding="utf-8"?>
<sst xmlns="http://schemas.openxmlformats.org/spreadsheetml/2006/main" count="115" uniqueCount="64">
  <si>
    <t>序号</t>
  </si>
  <si>
    <t>采样点</t>
  </si>
  <si>
    <t>工种</t>
  </si>
  <si>
    <r>
      <t>接触时间（</t>
    </r>
    <r>
      <rPr>
        <b/>
        <sz val="12"/>
        <color theme="1"/>
        <rFont val="Times New Roman"/>
        <family val="1"/>
      </rPr>
      <t>h/d</t>
    </r>
    <r>
      <rPr>
        <b/>
        <sz val="12"/>
        <color theme="1"/>
        <rFont val="宋体"/>
        <family val="3"/>
        <charset val="134"/>
      </rPr>
      <t>）</t>
    </r>
  </si>
  <si>
    <t>检测结果</t>
  </si>
  <si>
    <t>判定</t>
  </si>
  <si>
    <t>峰接触浓度</t>
  </si>
  <si>
    <t>峰接触</t>
  </si>
  <si>
    <t>浓度限值</t>
  </si>
  <si>
    <r>
      <t>C</t>
    </r>
    <r>
      <rPr>
        <b/>
        <vertAlign val="subscript"/>
        <sz val="12"/>
        <color theme="1"/>
        <rFont val="Times New Roman"/>
        <family val="1"/>
      </rPr>
      <t>STE</t>
    </r>
  </si>
  <si>
    <r>
      <t>C</t>
    </r>
    <r>
      <rPr>
        <b/>
        <vertAlign val="subscript"/>
        <sz val="12"/>
        <color theme="1"/>
        <rFont val="Times New Roman"/>
        <family val="1"/>
      </rPr>
      <t>TWA</t>
    </r>
  </si>
  <si>
    <t>PC-TWA</t>
  </si>
  <si>
    <r>
      <t>C</t>
    </r>
    <r>
      <rPr>
        <b/>
        <vertAlign val="subscript"/>
        <sz val="12"/>
        <color theme="1"/>
        <rFont val="Times New Roman"/>
        <family val="1"/>
      </rPr>
      <t>PE</t>
    </r>
  </si>
  <si>
    <t>3PC-TWA</t>
  </si>
  <si>
    <t>5PC-TWA</t>
  </si>
  <si>
    <t>情况一</t>
  </si>
  <si>
    <t>情况二</t>
    <phoneticPr fontId="6" type="noConversion"/>
  </si>
  <si>
    <t>情况二:同个工种多个场所</t>
    <phoneticPr fontId="6" type="noConversion"/>
  </si>
  <si>
    <t>情况一：一个工种一个场所</t>
    <phoneticPr fontId="6" type="noConversion"/>
  </si>
  <si>
    <t>化学因素（标黄的不能动）</t>
    <phoneticPr fontId="6" type="noConversion"/>
  </si>
  <si>
    <t>PC-STEL</t>
    <phoneticPr fontId="6" type="noConversion"/>
  </si>
  <si>
    <t>接触限值</t>
    <phoneticPr fontId="6" type="noConversion"/>
  </si>
  <si>
    <t>检测地点</t>
  </si>
  <si>
    <t>测量结果</t>
  </si>
  <si>
    <t>职业接触限值</t>
  </si>
  <si>
    <r>
      <t>L</t>
    </r>
    <r>
      <rPr>
        <b/>
        <vertAlign val="subscript"/>
        <sz val="12"/>
        <color theme="1"/>
        <rFont val="Times New Roman"/>
        <family val="1"/>
      </rPr>
      <t>Aeq</t>
    </r>
    <r>
      <rPr>
        <b/>
        <vertAlign val="subscript"/>
        <sz val="12"/>
        <color theme="1"/>
        <rFont val="仿宋_GB2312"/>
        <family val="1"/>
        <charset val="134"/>
      </rPr>
      <t>，</t>
    </r>
    <r>
      <rPr>
        <b/>
        <vertAlign val="subscript"/>
        <sz val="12"/>
        <color theme="1"/>
        <rFont val="Times New Roman"/>
        <family val="1"/>
      </rPr>
      <t>Te</t>
    </r>
  </si>
  <si>
    <r>
      <t>L</t>
    </r>
    <r>
      <rPr>
        <b/>
        <vertAlign val="subscript"/>
        <sz val="12"/>
        <color theme="1"/>
        <rFont val="Times New Roman"/>
        <family val="1"/>
      </rPr>
      <t>EX,8h</t>
    </r>
  </si>
  <si>
    <r>
      <rPr>
        <b/>
        <sz val="14"/>
        <color rgb="FF000000"/>
        <rFont val="宋体"/>
        <family val="3"/>
        <charset val="134"/>
      </rPr>
      <t>工作场所噪声检测结果与判定</t>
    </r>
    <r>
      <rPr>
        <b/>
        <sz val="14"/>
        <color rgb="FF000000"/>
        <rFont val="Times New Roman"/>
        <family val="1"/>
      </rPr>
      <t>[dB(A)]</t>
    </r>
    <phoneticPr fontId="6" type="noConversion"/>
  </si>
  <si>
    <t>检测</t>
  </si>
  <si>
    <t>接触</t>
  </si>
  <si>
    <t>接触时间（min/d）</t>
  </si>
  <si>
    <t>测量</t>
  </si>
  <si>
    <t>平均值（V/m）</t>
  </si>
  <si>
    <t>报出值（V/m）</t>
  </si>
  <si>
    <t>加权值（V/m）</t>
  </si>
  <si>
    <t>职业接触标准限（V/m）</t>
  </si>
  <si>
    <t>头</t>
  </si>
  <si>
    <t>胸</t>
  </si>
  <si>
    <t>腹</t>
  </si>
  <si>
    <t>工作场所工频电场检测结果表（V/m）</t>
    <phoneticPr fontId="6" type="noConversion"/>
  </si>
  <si>
    <r>
      <t>接触时间（</t>
    </r>
    <r>
      <rPr>
        <b/>
        <sz val="12"/>
        <color rgb="FF000000"/>
        <rFont val="仿宋_GB2312"/>
        <family val="1"/>
      </rPr>
      <t>h/d</t>
    </r>
    <r>
      <rPr>
        <b/>
        <sz val="12"/>
        <color rgb="FF000000"/>
        <rFont val="仿宋_GB2312"/>
        <family val="1"/>
        <charset val="134"/>
      </rPr>
      <t>）</t>
    </r>
    <phoneticPr fontId="6" type="noConversion"/>
  </si>
  <si>
    <t>单次测量结果</t>
    <phoneticPr fontId="6" type="noConversion"/>
  </si>
  <si>
    <r>
      <t>L</t>
    </r>
    <r>
      <rPr>
        <b/>
        <vertAlign val="subscript"/>
        <sz val="12"/>
        <color theme="1"/>
        <rFont val="Times New Roman"/>
        <family val="1"/>
      </rPr>
      <t>EX,w</t>
    </r>
    <phoneticPr fontId="6" type="noConversion"/>
  </si>
  <si>
    <t>情况一
5d/w,＝8h/d
5d/w,≠8h/d</t>
    <phoneticPr fontId="6" type="noConversion"/>
  </si>
  <si>
    <t xml:space="preserve">情况二
≠5d/w </t>
    <phoneticPr fontId="6" type="noConversion"/>
  </si>
  <si>
    <t>每周实际工作天数</t>
    <phoneticPr fontId="6" type="noConversion"/>
  </si>
  <si>
    <t>相同工作岗位第一工作场所</t>
    <phoneticPr fontId="6" type="noConversion"/>
  </si>
  <si>
    <t>相同工作岗位第二工作场所</t>
    <phoneticPr fontId="6" type="noConversion"/>
  </si>
  <si>
    <t>相同工作岗位第三工作场所</t>
    <phoneticPr fontId="6" type="noConversion"/>
  </si>
  <si>
    <t>情况一
5d/w,
＝8h/d
5d/w,
≠8h/d</t>
    <phoneticPr fontId="6" type="noConversion"/>
  </si>
  <si>
    <t>第一个点</t>
    <phoneticPr fontId="6" type="noConversion"/>
  </si>
  <si>
    <t>第二个点</t>
    <phoneticPr fontId="6" type="noConversion"/>
  </si>
  <si>
    <t>第三个点</t>
    <phoneticPr fontId="6" type="noConversion"/>
  </si>
  <si>
    <t>第一次</t>
    <phoneticPr fontId="6" type="noConversion"/>
  </si>
  <si>
    <t>第二次</t>
    <phoneticPr fontId="6" type="noConversion"/>
  </si>
  <si>
    <t>第三次</t>
    <phoneticPr fontId="6" type="noConversion"/>
  </si>
  <si>
    <t>单次测量结果（能量平均值）</t>
    <phoneticPr fontId="6" type="noConversion"/>
  </si>
  <si>
    <t>标况体积</t>
    <phoneticPr fontId="6" type="noConversion"/>
  </si>
  <si>
    <t>气温</t>
    <phoneticPr fontId="6" type="noConversion"/>
  </si>
  <si>
    <t>气压</t>
    <phoneticPr fontId="6" type="noConversion"/>
  </si>
  <si>
    <t>流量</t>
    <phoneticPr fontId="6" type="noConversion"/>
  </si>
  <si>
    <t>采样时长</t>
    <phoneticPr fontId="6" type="noConversion"/>
  </si>
  <si>
    <t>T</t>
    <phoneticPr fontId="6" type="noConversion"/>
  </si>
  <si>
    <t>P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</si>
</sst>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4">
    <font>
      <sz val="11"/>
      <color theme="1"/>
      <name val="等线"/>
      <family val="2"/>
      <scheme val="minor"/>
    </font>
    <font>
      <b/>
      <sz val="12"/>
      <color theme="1"/>
      <name val="宋体"/>
      <family val="3"/>
      <charset val="134"/>
    </font>
    <font>
      <b/>
      <sz val="12"/>
      <color theme="1"/>
      <name val="Times New Roman"/>
      <family val="1"/>
    </font>
    <font>
      <b/>
      <vertAlign val="subscript"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sz val="16"/>
      <color theme="1"/>
      <name val="宋体"/>
      <family val="3"/>
      <charset val="134"/>
    </font>
    <font>
      <sz val="12"/>
      <color theme="1"/>
      <name val="宋体"/>
      <family val="1"/>
      <charset val="134"/>
    </font>
    <font>
      <sz val="12"/>
      <color rgb="FF000000"/>
      <name val="宋体"/>
      <family val="3"/>
      <charset val="134"/>
    </font>
    <font>
      <b/>
      <sz val="14"/>
      <color rgb="FF000000"/>
      <name val="仿宋_GB2312"/>
      <family val="1"/>
      <charset val="134"/>
    </font>
    <font>
      <b/>
      <sz val="14"/>
      <color rgb="FF000000"/>
      <name val="Times New Roman"/>
      <family val="1"/>
    </font>
    <font>
      <b/>
      <sz val="12"/>
      <color rgb="FF000000"/>
      <name val="仿宋_GB2312"/>
      <family val="1"/>
      <charset val="134"/>
    </font>
    <font>
      <b/>
      <sz val="12"/>
      <color theme="1"/>
      <name val="仿宋_GB2312"/>
      <family val="1"/>
      <charset val="134"/>
    </font>
    <font>
      <b/>
      <vertAlign val="subscript"/>
      <sz val="12"/>
      <color theme="1"/>
      <name val="仿宋_GB2312"/>
      <family val="1"/>
      <charset val="134"/>
    </font>
    <font>
      <sz val="12"/>
      <color theme="1"/>
      <name val="仿宋_GB2312"/>
      <family val="1"/>
      <charset val="134"/>
    </font>
    <font>
      <b/>
      <sz val="14"/>
      <color rgb="FF000000"/>
      <name val="宋体"/>
      <family val="3"/>
      <charset val="134"/>
    </font>
    <font>
      <b/>
      <sz val="14"/>
      <color rgb="FF000000"/>
      <name val="仿宋_GB2312"/>
      <family val="3"/>
      <charset val="134"/>
    </font>
    <font>
      <b/>
      <sz val="12"/>
      <color rgb="FF000000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  <font>
      <b/>
      <sz val="12"/>
      <color rgb="FF000000"/>
      <name val="仿宋_GB2312"/>
      <family val="1"/>
    </font>
    <font>
      <sz val="12"/>
      <color rgb="FF000000"/>
      <name val="宋体"/>
      <family val="1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21" fillId="0" borderId="0" xfId="0" applyFont="1"/>
    <xf numFmtId="0" fontId="8" fillId="2" borderId="2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176" fontId="0" fillId="0" borderId="0" xfId="0" applyNumberFormat="1"/>
    <xf numFmtId="0" fontId="0" fillId="0" borderId="1" xfId="0" applyBorder="1"/>
    <xf numFmtId="0" fontId="23" fillId="3" borderId="0" xfId="0" applyFont="1" applyFill="1" applyAlignment="1">
      <alignment horizontal="center" vertical="center" wrapText="1"/>
    </xf>
    <xf numFmtId="0" fontId="0" fillId="3" borderId="0" xfId="0" applyFill="1"/>
    <xf numFmtId="0" fontId="5" fillId="0" borderId="1" xfId="0" applyFont="1" applyBorder="1" applyAlignment="1">
      <alignment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37"/>
  <sheetViews>
    <sheetView topLeftCell="A14" zoomScaleNormal="100" workbookViewId="0">
      <selection activeCell="I36" sqref="I36"/>
    </sheetView>
  </sheetViews>
  <sheetFormatPr defaultRowHeight="14"/>
  <cols>
    <col min="6" max="6" width="9.6640625" hidden="1" customWidth="1"/>
    <col min="7" max="7" width="11.75" customWidth="1"/>
    <col min="8" max="8" width="11.08203125" customWidth="1"/>
    <col min="9" max="9" width="6.5" customWidth="1"/>
    <col min="10" max="10" width="11.4140625" customWidth="1"/>
    <col min="11" max="11" width="6.9140625" customWidth="1"/>
    <col min="13" max="13" width="10.58203125" customWidth="1"/>
    <col min="14" max="14" width="11.58203125" customWidth="1"/>
  </cols>
  <sheetData>
    <row r="2" spans="1:15" ht="27.5" customHeight="1">
      <c r="A2" s="46" t="s">
        <v>19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</row>
    <row r="3" spans="1:15" ht="15">
      <c r="A3" s="51" t="s">
        <v>0</v>
      </c>
      <c r="B3" s="51" t="s">
        <v>1</v>
      </c>
      <c r="C3" s="51" t="s">
        <v>2</v>
      </c>
      <c r="D3" s="51" t="s">
        <v>3</v>
      </c>
      <c r="E3" s="50" t="s">
        <v>4</v>
      </c>
      <c r="F3" s="50"/>
      <c r="G3" s="50"/>
      <c r="H3" s="50" t="s">
        <v>21</v>
      </c>
      <c r="I3" s="50"/>
      <c r="J3" s="50"/>
      <c r="K3" s="50"/>
      <c r="L3" s="50" t="s">
        <v>6</v>
      </c>
      <c r="M3" s="50" t="s">
        <v>7</v>
      </c>
      <c r="N3" s="50"/>
      <c r="O3" s="50" t="s">
        <v>5</v>
      </c>
    </row>
    <row r="4" spans="1:15" ht="15">
      <c r="A4" s="52"/>
      <c r="B4" s="52"/>
      <c r="C4" s="52"/>
      <c r="D4" s="52"/>
      <c r="E4" s="50"/>
      <c r="F4" s="50"/>
      <c r="G4" s="50"/>
      <c r="H4" s="50"/>
      <c r="I4" s="50"/>
      <c r="J4" s="50"/>
      <c r="K4" s="50"/>
      <c r="L4" s="50"/>
      <c r="M4" s="50" t="s">
        <v>8</v>
      </c>
      <c r="N4" s="50"/>
      <c r="O4" s="50"/>
    </row>
    <row r="5" spans="1:15" ht="18.5" thickBot="1">
      <c r="A5" s="53"/>
      <c r="B5" s="53"/>
      <c r="C5" s="53"/>
      <c r="D5" s="53"/>
      <c r="E5" s="2" t="s">
        <v>9</v>
      </c>
      <c r="F5" s="2"/>
      <c r="G5" s="2" t="s">
        <v>10</v>
      </c>
      <c r="H5" s="2" t="s">
        <v>20</v>
      </c>
      <c r="I5" s="3" t="s">
        <v>5</v>
      </c>
      <c r="J5" s="2" t="s">
        <v>11</v>
      </c>
      <c r="K5" s="3" t="s">
        <v>5</v>
      </c>
      <c r="L5" s="2" t="s">
        <v>12</v>
      </c>
      <c r="M5" s="2" t="s">
        <v>13</v>
      </c>
      <c r="N5" s="2" t="s">
        <v>14</v>
      </c>
      <c r="O5" s="50"/>
    </row>
    <row r="6" spans="1:15" ht="16" thickBot="1">
      <c r="A6" s="37" t="s">
        <v>18</v>
      </c>
      <c r="B6" s="38"/>
      <c r="C6" s="39"/>
      <c r="D6" s="55">
        <v>2</v>
      </c>
      <c r="E6" s="18">
        <v>1.19</v>
      </c>
      <c r="F6" s="6"/>
      <c r="G6" s="31">
        <f>AVERAGE(E6:E10)*D6/8</f>
        <v>0.47375</v>
      </c>
      <c r="H6" s="55">
        <v>600</v>
      </c>
      <c r="I6" s="47" t="str">
        <f>IF(L6&lt;H6,"符合","不符合")</f>
        <v>符合</v>
      </c>
      <c r="J6" s="55">
        <v>300</v>
      </c>
      <c r="K6" s="47" t="str">
        <f>IF(G6&lt;J6,"符合","不符合")</f>
        <v>符合</v>
      </c>
      <c r="L6" s="47">
        <f>MAX(E6:E10)</f>
        <v>2.6</v>
      </c>
      <c r="M6" s="47">
        <f>J6*3</f>
        <v>900</v>
      </c>
      <c r="N6" s="47">
        <f>J6*5</f>
        <v>1500</v>
      </c>
      <c r="O6" s="47" t="str">
        <f>IF(AND(L6&lt;M6,L6&lt;N6),"符合","不符合")</f>
        <v>符合</v>
      </c>
    </row>
    <row r="7" spans="1:15" ht="14" customHeight="1" thickBot="1">
      <c r="A7" s="40"/>
      <c r="B7" s="41"/>
      <c r="C7" s="42"/>
      <c r="D7" s="56"/>
      <c r="E7" s="19">
        <v>2.6</v>
      </c>
      <c r="F7" s="8"/>
      <c r="G7" s="32"/>
      <c r="H7" s="56"/>
      <c r="I7" s="48"/>
      <c r="J7" s="56"/>
      <c r="K7" s="48"/>
      <c r="L7" s="48"/>
      <c r="M7" s="48"/>
      <c r="N7" s="48"/>
      <c r="O7" s="48"/>
    </row>
    <row r="8" spans="1:15" ht="14" customHeight="1">
      <c r="A8" s="40"/>
      <c r="B8" s="41"/>
      <c r="C8" s="42"/>
      <c r="D8" s="56"/>
      <c r="E8" s="5"/>
      <c r="F8" s="8"/>
      <c r="G8" s="32"/>
      <c r="H8" s="56"/>
      <c r="I8" s="48"/>
      <c r="J8" s="56"/>
      <c r="K8" s="48"/>
      <c r="L8" s="48"/>
      <c r="M8" s="48"/>
      <c r="N8" s="48"/>
      <c r="O8" s="48"/>
    </row>
    <row r="9" spans="1:15" ht="14" customHeight="1">
      <c r="A9" s="40"/>
      <c r="B9" s="41"/>
      <c r="C9" s="42"/>
      <c r="D9" s="56"/>
      <c r="E9" s="5"/>
      <c r="F9" s="8"/>
      <c r="G9" s="32"/>
      <c r="H9" s="56"/>
      <c r="I9" s="48"/>
      <c r="J9" s="56"/>
      <c r="K9" s="48"/>
      <c r="L9" s="48"/>
      <c r="M9" s="48"/>
      <c r="N9" s="48"/>
      <c r="O9" s="48"/>
    </row>
    <row r="10" spans="1:15" ht="14" customHeight="1">
      <c r="A10" s="43"/>
      <c r="B10" s="44"/>
      <c r="C10" s="45"/>
      <c r="D10" s="57"/>
      <c r="E10" s="5"/>
      <c r="F10" s="9"/>
      <c r="G10" s="33"/>
      <c r="H10" s="57"/>
      <c r="I10" s="49"/>
      <c r="J10" s="57"/>
      <c r="K10" s="49"/>
      <c r="L10" s="49"/>
      <c r="M10" s="49"/>
      <c r="N10" s="49"/>
      <c r="O10" s="49"/>
    </row>
    <row r="11" spans="1:15" ht="14" customHeight="1">
      <c r="A11" s="37" t="s">
        <v>17</v>
      </c>
      <c r="B11" s="38"/>
      <c r="C11" s="39"/>
      <c r="D11" s="54">
        <v>6.5</v>
      </c>
      <c r="E11" s="5">
        <v>28</v>
      </c>
      <c r="F11" s="31">
        <f>AVERAGE(E11:E15)*D11/8</f>
        <v>22.75</v>
      </c>
      <c r="G11" s="34">
        <f>((6.5*((E11))+1*(E17)))/8</f>
        <v>23.875</v>
      </c>
      <c r="H11" s="58">
        <v>600</v>
      </c>
      <c r="I11" s="34" t="str">
        <f>IF(L11&lt;H11,"符合","不符合")</f>
        <v>符合</v>
      </c>
      <c r="J11" s="58">
        <v>300</v>
      </c>
      <c r="K11" s="34" t="str">
        <f>IF(G11&lt;J11,"符合","不符合")</f>
        <v>符合</v>
      </c>
      <c r="L11" s="34">
        <f>MAX(E11:E25)</f>
        <v>28</v>
      </c>
      <c r="M11" s="34">
        <f>J11*3</f>
        <v>900</v>
      </c>
      <c r="N11" s="34">
        <f>J11*5</f>
        <v>1500</v>
      </c>
      <c r="O11" s="34" t="str">
        <f>IF(AND(L11&lt;M11,L11&lt;N11),"符合","不符合")</f>
        <v>符合</v>
      </c>
    </row>
    <row r="12" spans="1:15" ht="14" customHeight="1">
      <c r="A12" s="40"/>
      <c r="B12" s="41"/>
      <c r="C12" s="42"/>
      <c r="D12" s="54"/>
      <c r="E12" s="5"/>
      <c r="F12" s="32"/>
      <c r="G12" s="35"/>
      <c r="H12" s="59"/>
      <c r="I12" s="35"/>
      <c r="J12" s="59"/>
      <c r="K12" s="35"/>
      <c r="L12" s="35"/>
      <c r="M12" s="35"/>
      <c r="N12" s="35"/>
      <c r="O12" s="35"/>
    </row>
    <row r="13" spans="1:15" ht="14" customHeight="1">
      <c r="A13" s="40"/>
      <c r="B13" s="41"/>
      <c r="C13" s="42"/>
      <c r="D13" s="54"/>
      <c r="E13" s="5"/>
      <c r="F13" s="32"/>
      <c r="G13" s="35"/>
      <c r="H13" s="59"/>
      <c r="I13" s="35"/>
      <c r="J13" s="59"/>
      <c r="K13" s="35"/>
      <c r="L13" s="35"/>
      <c r="M13" s="35"/>
      <c r="N13" s="35"/>
      <c r="O13" s="35"/>
    </row>
    <row r="14" spans="1:15" ht="14" customHeight="1">
      <c r="A14" s="40"/>
      <c r="B14" s="41"/>
      <c r="C14" s="42"/>
      <c r="D14" s="54"/>
      <c r="E14" s="5"/>
      <c r="F14" s="32"/>
      <c r="G14" s="35"/>
      <c r="H14" s="59"/>
      <c r="I14" s="35"/>
      <c r="J14" s="59"/>
      <c r="K14" s="35"/>
      <c r="L14" s="35"/>
      <c r="M14" s="35"/>
      <c r="N14" s="35"/>
      <c r="O14" s="35"/>
    </row>
    <row r="15" spans="1:15" ht="14" customHeight="1">
      <c r="A15" s="40"/>
      <c r="B15" s="41"/>
      <c r="C15" s="42"/>
      <c r="D15" s="54"/>
      <c r="E15" s="5"/>
      <c r="F15" s="33"/>
      <c r="G15" s="35"/>
      <c r="H15" s="59"/>
      <c r="I15" s="35"/>
      <c r="J15" s="59"/>
      <c r="K15" s="35"/>
      <c r="L15" s="35"/>
      <c r="M15" s="35"/>
      <c r="N15" s="35"/>
      <c r="O15" s="35"/>
    </row>
    <row r="16" spans="1:15" ht="14" customHeight="1">
      <c r="A16" s="40"/>
      <c r="B16" s="41"/>
      <c r="C16" s="42"/>
      <c r="D16" s="54">
        <v>1</v>
      </c>
      <c r="E16" s="5"/>
      <c r="F16" s="31">
        <f>AVERAGE(E16:E20)*D16/8</f>
        <v>1.125</v>
      </c>
      <c r="G16" s="35"/>
      <c r="H16" s="59"/>
      <c r="I16" s="35"/>
      <c r="J16" s="59"/>
      <c r="K16" s="35"/>
      <c r="L16" s="35"/>
      <c r="M16" s="35"/>
      <c r="N16" s="35"/>
      <c r="O16" s="35"/>
    </row>
    <row r="17" spans="1:15" ht="14" customHeight="1">
      <c r="A17" s="40"/>
      <c r="B17" s="41"/>
      <c r="C17" s="42"/>
      <c r="D17" s="54"/>
      <c r="E17" s="5">
        <v>9</v>
      </c>
      <c r="F17" s="32"/>
      <c r="G17" s="35"/>
      <c r="H17" s="59"/>
      <c r="I17" s="35"/>
      <c r="J17" s="59"/>
      <c r="K17" s="35"/>
      <c r="L17" s="35"/>
      <c r="M17" s="35"/>
      <c r="N17" s="35"/>
      <c r="O17" s="35"/>
    </row>
    <row r="18" spans="1:15" ht="14" customHeight="1">
      <c r="A18" s="40"/>
      <c r="B18" s="41"/>
      <c r="C18" s="42"/>
      <c r="D18" s="54"/>
      <c r="E18" s="5"/>
      <c r="F18" s="32"/>
      <c r="G18" s="35"/>
      <c r="H18" s="59"/>
      <c r="I18" s="35"/>
      <c r="J18" s="59"/>
      <c r="K18" s="35"/>
      <c r="L18" s="35"/>
      <c r="M18" s="35"/>
      <c r="N18" s="35"/>
      <c r="O18" s="35"/>
    </row>
    <row r="19" spans="1:15" ht="14" customHeight="1">
      <c r="A19" s="40"/>
      <c r="B19" s="41"/>
      <c r="C19" s="42"/>
      <c r="D19" s="54"/>
      <c r="E19" s="5"/>
      <c r="F19" s="32"/>
      <c r="G19" s="35"/>
      <c r="H19" s="59"/>
      <c r="I19" s="35"/>
      <c r="J19" s="59"/>
      <c r="K19" s="35"/>
      <c r="L19" s="35"/>
      <c r="M19" s="35"/>
      <c r="N19" s="35"/>
      <c r="O19" s="35"/>
    </row>
    <row r="20" spans="1:15" ht="14" customHeight="1">
      <c r="A20" s="40"/>
      <c r="B20" s="41"/>
      <c r="C20" s="42"/>
      <c r="D20" s="54"/>
      <c r="E20" s="5"/>
      <c r="F20" s="33"/>
      <c r="G20" s="35"/>
      <c r="H20" s="59"/>
      <c r="I20" s="35"/>
      <c r="J20" s="59"/>
      <c r="K20" s="35"/>
      <c r="L20" s="35"/>
      <c r="M20" s="35"/>
      <c r="N20" s="35"/>
      <c r="O20" s="35"/>
    </row>
    <row r="21" spans="1:15" ht="14" customHeight="1">
      <c r="A21" s="40"/>
      <c r="B21" s="41"/>
      <c r="C21" s="42"/>
      <c r="D21" s="54"/>
      <c r="E21" s="5"/>
      <c r="F21" s="31" t="e">
        <f>AVERAGE(E21:E25)*D21/8</f>
        <v>#DIV/0!</v>
      </c>
      <c r="G21" s="35"/>
      <c r="H21" s="59"/>
      <c r="I21" s="35"/>
      <c r="J21" s="59"/>
      <c r="K21" s="35"/>
      <c r="L21" s="35"/>
      <c r="M21" s="35"/>
      <c r="N21" s="35"/>
      <c r="O21" s="35"/>
    </row>
    <row r="22" spans="1:15" ht="14" customHeight="1">
      <c r="A22" s="40"/>
      <c r="B22" s="41"/>
      <c r="C22" s="42"/>
      <c r="D22" s="54"/>
      <c r="E22" s="5"/>
      <c r="F22" s="32"/>
      <c r="G22" s="35"/>
      <c r="H22" s="59"/>
      <c r="I22" s="35"/>
      <c r="J22" s="59"/>
      <c r="K22" s="35"/>
      <c r="L22" s="35"/>
      <c r="M22" s="35"/>
      <c r="N22" s="35"/>
      <c r="O22" s="35"/>
    </row>
    <row r="23" spans="1:15" ht="14" customHeight="1">
      <c r="A23" s="40"/>
      <c r="B23" s="41"/>
      <c r="C23" s="42"/>
      <c r="D23" s="54"/>
      <c r="E23" s="5"/>
      <c r="F23" s="32"/>
      <c r="G23" s="35"/>
      <c r="H23" s="59"/>
      <c r="I23" s="35"/>
      <c r="J23" s="59"/>
      <c r="K23" s="35"/>
      <c r="L23" s="35"/>
      <c r="M23" s="35"/>
      <c r="N23" s="35"/>
      <c r="O23" s="35"/>
    </row>
    <row r="24" spans="1:15" ht="14" customHeight="1">
      <c r="A24" s="40"/>
      <c r="B24" s="41"/>
      <c r="C24" s="42"/>
      <c r="D24" s="54"/>
      <c r="E24" s="5"/>
      <c r="F24" s="32"/>
      <c r="G24" s="35"/>
      <c r="H24" s="59"/>
      <c r="I24" s="35"/>
      <c r="J24" s="59"/>
      <c r="K24" s="35"/>
      <c r="L24" s="35"/>
      <c r="M24" s="35"/>
      <c r="N24" s="35"/>
      <c r="O24" s="35"/>
    </row>
    <row r="25" spans="1:15" ht="14" customHeight="1">
      <c r="A25" s="43"/>
      <c r="B25" s="44"/>
      <c r="C25" s="45"/>
      <c r="D25" s="54"/>
      <c r="E25" s="5"/>
      <c r="F25" s="33"/>
      <c r="G25" s="36"/>
      <c r="H25" s="60"/>
      <c r="I25" s="36"/>
      <c r="J25" s="60"/>
      <c r="K25" s="36"/>
      <c r="L25" s="36"/>
      <c r="M25" s="36"/>
      <c r="N25" s="36"/>
      <c r="O25" s="36"/>
    </row>
    <row r="31" spans="1:15">
      <c r="A31" t="s">
        <v>57</v>
      </c>
    </row>
    <row r="33" spans="1:10">
      <c r="A33" t="s">
        <v>58</v>
      </c>
      <c r="B33" t="s">
        <v>59</v>
      </c>
      <c r="C33" t="s">
        <v>60</v>
      </c>
      <c r="D33" t="s">
        <v>61</v>
      </c>
      <c r="E33" s="106" t="s">
        <v>62</v>
      </c>
      <c r="F33" s="106"/>
      <c r="G33" s="106" t="s">
        <v>63</v>
      </c>
      <c r="H33" s="106" t="s">
        <v>57</v>
      </c>
    </row>
    <row r="34" spans="1:10">
      <c r="A34">
        <v>21.6</v>
      </c>
      <c r="B34">
        <v>98.2</v>
      </c>
      <c r="C34">
        <v>0.1</v>
      </c>
      <c r="D34">
        <v>15</v>
      </c>
      <c r="E34" s="106">
        <v>293</v>
      </c>
      <c r="F34" s="106"/>
      <c r="G34" s="106">
        <v>101.3</v>
      </c>
      <c r="H34">
        <f>(C34*D34)*E34*B34/G34/(273+A34)</f>
        <v>1.4461994076999012</v>
      </c>
      <c r="J34">
        <f>D34*C34</f>
        <v>1.5</v>
      </c>
    </row>
    <row r="35" spans="1:10">
      <c r="A35">
        <v>23.7</v>
      </c>
      <c r="B35">
        <v>98.2</v>
      </c>
      <c r="C35">
        <v>0.1</v>
      </c>
      <c r="D35">
        <v>15</v>
      </c>
      <c r="E35" s="106">
        <v>293</v>
      </c>
      <c r="F35" s="106"/>
      <c r="G35" s="106">
        <v>101.3</v>
      </c>
      <c r="H35">
        <f t="shared" ref="H35:H37" si="0">(C35*D35)*E35*B35/G35/(273+A35)</f>
        <v>1.4359634159366059</v>
      </c>
    </row>
    <row r="36" spans="1:10">
      <c r="A36">
        <v>22.4</v>
      </c>
      <c r="B36">
        <v>98.2</v>
      </c>
      <c r="C36">
        <v>0.1</v>
      </c>
      <c r="D36">
        <v>15</v>
      </c>
      <c r="E36" s="106">
        <v>293</v>
      </c>
      <c r="F36" s="106"/>
      <c r="G36" s="106">
        <v>101.3</v>
      </c>
      <c r="H36">
        <f t="shared" si="0"/>
        <v>1.4422828216262389</v>
      </c>
    </row>
    <row r="37" spans="1:10">
      <c r="A37">
        <v>23.8</v>
      </c>
      <c r="B37">
        <v>98.2</v>
      </c>
      <c r="C37">
        <v>0.1</v>
      </c>
      <c r="D37">
        <v>15</v>
      </c>
      <c r="E37" s="106">
        <v>293</v>
      </c>
      <c r="F37" s="106"/>
      <c r="G37" s="106">
        <v>101.3</v>
      </c>
      <c r="H37">
        <f t="shared" si="0"/>
        <v>1.4354796007695112</v>
      </c>
    </row>
  </sheetData>
  <mergeCells count="38">
    <mergeCell ref="H3:K4"/>
    <mergeCell ref="I6:I10"/>
    <mergeCell ref="I11:I25"/>
    <mergeCell ref="K11:K25"/>
    <mergeCell ref="M6:M10"/>
    <mergeCell ref="M11:M25"/>
    <mergeCell ref="N6:N10"/>
    <mergeCell ref="N11:N25"/>
    <mergeCell ref="O6:O10"/>
    <mergeCell ref="O11:O25"/>
    <mergeCell ref="D16:D20"/>
    <mergeCell ref="D21:D25"/>
    <mergeCell ref="F11:F15"/>
    <mergeCell ref="F16:F20"/>
    <mergeCell ref="F21:F25"/>
    <mergeCell ref="J6:J10"/>
    <mergeCell ref="J11:J25"/>
    <mergeCell ref="H6:H10"/>
    <mergeCell ref="H11:H25"/>
    <mergeCell ref="L11:L25"/>
    <mergeCell ref="D11:D15"/>
    <mergeCell ref="D6:D10"/>
    <mergeCell ref="G6:G10"/>
    <mergeCell ref="G11:G25"/>
    <mergeCell ref="A6:C10"/>
    <mergeCell ref="A11:C25"/>
    <mergeCell ref="A2:O2"/>
    <mergeCell ref="L6:L10"/>
    <mergeCell ref="K6:K10"/>
    <mergeCell ref="L3:L4"/>
    <mergeCell ref="M3:N3"/>
    <mergeCell ref="M4:N4"/>
    <mergeCell ref="O3:O5"/>
    <mergeCell ref="A3:A5"/>
    <mergeCell ref="B3:B5"/>
    <mergeCell ref="C3:C5"/>
    <mergeCell ref="D3:D5"/>
    <mergeCell ref="E3:G4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6792B-1B29-4284-A22B-55A044C6D66A}">
  <dimension ref="A4:L75"/>
  <sheetViews>
    <sheetView tabSelected="1" workbookViewId="0">
      <selection activeCell="F19" sqref="F19"/>
    </sheetView>
  </sheetViews>
  <sheetFormatPr defaultColWidth="15.6640625" defaultRowHeight="14"/>
  <cols>
    <col min="1" max="1" width="10.1640625" customWidth="1"/>
    <col min="2" max="2" width="11.75" customWidth="1"/>
    <col min="3" max="3" width="14.33203125" customWidth="1"/>
  </cols>
  <sheetData>
    <row r="4" spans="1:9" ht="22.5">
      <c r="A4" s="87" t="s">
        <v>27</v>
      </c>
      <c r="B4" s="88"/>
      <c r="C4" s="88"/>
      <c r="D4" s="88"/>
      <c r="E4" s="88"/>
      <c r="F4" s="88"/>
      <c r="G4" s="88"/>
      <c r="H4" s="88"/>
      <c r="I4" s="88"/>
    </row>
    <row r="5" spans="1:9" ht="15" customHeight="1">
      <c r="A5" s="67" t="s">
        <v>0</v>
      </c>
      <c r="B5" s="68" t="s">
        <v>22</v>
      </c>
      <c r="C5" s="67" t="s">
        <v>2</v>
      </c>
      <c r="D5" s="67" t="s">
        <v>40</v>
      </c>
      <c r="E5" s="67" t="s">
        <v>41</v>
      </c>
      <c r="F5" s="68" t="s">
        <v>23</v>
      </c>
      <c r="G5" s="68"/>
      <c r="H5" s="67" t="s">
        <v>24</v>
      </c>
      <c r="I5" s="68" t="s">
        <v>5</v>
      </c>
    </row>
    <row r="6" spans="1:9" ht="20">
      <c r="A6" s="67"/>
      <c r="B6" s="68"/>
      <c r="C6" s="67"/>
      <c r="D6" s="83"/>
      <c r="E6" s="83"/>
      <c r="F6" s="10" t="s">
        <v>25</v>
      </c>
      <c r="G6" s="2" t="s">
        <v>26</v>
      </c>
      <c r="H6" s="67"/>
      <c r="I6" s="68"/>
    </row>
    <row r="7" spans="1:9" ht="17" customHeight="1">
      <c r="A7" s="73" t="s">
        <v>43</v>
      </c>
      <c r="B7" s="76"/>
      <c r="C7" s="77"/>
      <c r="D7" s="70">
        <v>4</v>
      </c>
      <c r="E7" s="21">
        <v>69.7</v>
      </c>
      <c r="F7" s="70">
        <f>10*LOG((10^(0.1*E7)+10^(0.1*E8)+10^(E9*0.1))/3)</f>
        <v>71.158722177284716</v>
      </c>
      <c r="G7" s="64">
        <f>10*LOG(D7/8)+F7</f>
        <v>68.148422220644903</v>
      </c>
      <c r="H7" s="61">
        <v>85</v>
      </c>
      <c r="I7" s="104" t="str">
        <f>IF(G7&lt;H7,"符合","不符合")</f>
        <v>符合</v>
      </c>
    </row>
    <row r="8" spans="1:9" ht="17" customHeight="1">
      <c r="A8" s="74"/>
      <c r="B8" s="78"/>
      <c r="C8" s="79"/>
      <c r="D8" s="71"/>
      <c r="E8" s="21">
        <v>70.5</v>
      </c>
      <c r="F8" s="71"/>
      <c r="G8" s="65"/>
      <c r="H8" s="61"/>
      <c r="I8" s="104"/>
    </row>
    <row r="9" spans="1:9" ht="17" customHeight="1">
      <c r="A9" s="75"/>
      <c r="B9" s="80"/>
      <c r="C9" s="81"/>
      <c r="D9" s="72"/>
      <c r="E9" s="21">
        <v>72.7</v>
      </c>
      <c r="F9" s="72"/>
      <c r="G9" s="66"/>
      <c r="H9" s="61"/>
      <c r="I9" s="104"/>
    </row>
    <row r="10" spans="1:9" ht="17" customHeight="1">
      <c r="A10" s="67" t="s">
        <v>0</v>
      </c>
      <c r="B10" s="68" t="s">
        <v>22</v>
      </c>
      <c r="C10" s="67" t="s">
        <v>2</v>
      </c>
      <c r="D10" s="67" t="s">
        <v>40</v>
      </c>
      <c r="E10" s="67" t="s">
        <v>41</v>
      </c>
      <c r="F10" s="68" t="s">
        <v>23</v>
      </c>
      <c r="G10" s="68"/>
      <c r="H10" s="67" t="s">
        <v>24</v>
      </c>
      <c r="I10" s="68" t="s">
        <v>5</v>
      </c>
    </row>
    <row r="11" spans="1:9" ht="17" customHeight="1">
      <c r="A11" s="67"/>
      <c r="B11" s="68"/>
      <c r="C11" s="67"/>
      <c r="D11" s="83"/>
      <c r="E11" s="67"/>
      <c r="F11" s="10" t="s">
        <v>25</v>
      </c>
      <c r="G11" s="2" t="s">
        <v>42</v>
      </c>
      <c r="H11" s="67"/>
      <c r="I11" s="68"/>
    </row>
    <row r="12" spans="1:9" ht="17" customHeight="1">
      <c r="A12" s="82" t="s">
        <v>44</v>
      </c>
      <c r="B12" s="82"/>
      <c r="C12" s="82"/>
      <c r="D12" s="61">
        <v>4</v>
      </c>
      <c r="E12" s="21">
        <v>69.7</v>
      </c>
      <c r="F12" s="61">
        <f>10*LOG((10^(0.1*E12)+10^(0.1*E13)+10^(E14*0.1))/3)</f>
        <v>71.158722177284716</v>
      </c>
      <c r="G12" s="105">
        <f>10*LOG((10^((F12+10*LOG(D12/8))*0.1))*D15/5)</f>
        <v>68.148422220644918</v>
      </c>
      <c r="H12" s="61">
        <v>85</v>
      </c>
      <c r="I12" s="104" t="str">
        <f>IF(G12&lt;H12,"符合","不符合")</f>
        <v>符合</v>
      </c>
    </row>
    <row r="13" spans="1:9" ht="17" customHeight="1">
      <c r="A13" s="82"/>
      <c r="B13" s="82"/>
      <c r="C13" s="82"/>
      <c r="D13" s="61"/>
      <c r="E13" s="21">
        <v>70.5</v>
      </c>
      <c r="F13" s="61"/>
      <c r="G13" s="105"/>
      <c r="H13" s="61"/>
      <c r="I13" s="104"/>
    </row>
    <row r="14" spans="1:9" ht="17" customHeight="1">
      <c r="A14" s="82"/>
      <c r="B14" s="82"/>
      <c r="C14" s="82"/>
      <c r="D14" s="61"/>
      <c r="E14" s="21">
        <v>72.7</v>
      </c>
      <c r="F14" s="61"/>
      <c r="G14" s="105"/>
      <c r="H14" s="61"/>
      <c r="I14" s="104"/>
    </row>
    <row r="15" spans="1:9" ht="17" customHeight="1">
      <c r="A15" s="69" t="s">
        <v>45</v>
      </c>
      <c r="B15" s="69"/>
      <c r="C15" s="69"/>
      <c r="D15" s="1">
        <v>5</v>
      </c>
      <c r="E15" s="24"/>
      <c r="F15" s="1"/>
      <c r="G15" s="24"/>
      <c r="H15" s="27"/>
      <c r="I15" s="24"/>
    </row>
    <row r="16" spans="1:9" s="26" customFormat="1" ht="17" customHeight="1">
      <c r="A16" s="25"/>
      <c r="B16" s="25"/>
      <c r="C16" s="25"/>
      <c r="D16" s="28"/>
      <c r="F16" s="28"/>
      <c r="H16" s="29"/>
    </row>
    <row r="17" spans="1:9" ht="31.5" customHeight="1">
      <c r="C17" s="30"/>
      <c r="D17" s="22" t="s">
        <v>53</v>
      </c>
      <c r="E17" s="22" t="s">
        <v>54</v>
      </c>
      <c r="F17" s="22" t="s">
        <v>55</v>
      </c>
      <c r="G17" s="22" t="s">
        <v>56</v>
      </c>
      <c r="H17" s="17"/>
    </row>
    <row r="18" spans="1:9" ht="17" customHeight="1">
      <c r="C18" s="30" t="s">
        <v>50</v>
      </c>
      <c r="D18" s="21">
        <v>88.9</v>
      </c>
      <c r="E18" s="21">
        <v>89.3</v>
      </c>
      <c r="F18" s="21">
        <v>89.1</v>
      </c>
      <c r="G18" s="30">
        <f>10*LOG((10^(0.1*D18)+10^(0.1*E18)+10^(F18*0.1))/3)</f>
        <v>89.103069571042525</v>
      </c>
      <c r="H18" s="17"/>
    </row>
    <row r="19" spans="1:9" ht="15.5">
      <c r="C19" s="30" t="s">
        <v>51</v>
      </c>
      <c r="D19" s="21">
        <v>78.8</v>
      </c>
      <c r="E19" s="21">
        <v>79.099999999999994</v>
      </c>
      <c r="F19" s="21">
        <v>79.400000000000006</v>
      </c>
      <c r="G19" s="30">
        <f>10*LOG((10^(0.1*D19)+10^(0.1*E19)+10^(F19*0.1))/3)</f>
        <v>79.106905010354609</v>
      </c>
    </row>
    <row r="20" spans="1:9" ht="15.5">
      <c r="C20" s="30" t="s">
        <v>52</v>
      </c>
      <c r="D20" s="21">
        <v>78.2</v>
      </c>
      <c r="E20" s="21">
        <v>77.599999999999994</v>
      </c>
      <c r="F20" s="21">
        <v>78</v>
      </c>
      <c r="G20" s="30">
        <f>10*LOG((10^(0.1*D20)+10^(0.1*E20)+10^(F20*0.1))/3)</f>
        <v>77.940441679454921</v>
      </c>
    </row>
    <row r="21" spans="1:9" ht="22.5">
      <c r="A21" s="87" t="s">
        <v>27</v>
      </c>
      <c r="B21" s="88"/>
      <c r="C21" s="89"/>
      <c r="D21" s="89"/>
      <c r="E21" s="89"/>
      <c r="F21" s="89"/>
      <c r="G21" s="89"/>
      <c r="H21" s="88"/>
      <c r="I21" s="88"/>
    </row>
    <row r="22" spans="1:9" ht="20">
      <c r="A22" s="67" t="s">
        <v>0</v>
      </c>
      <c r="B22" s="68" t="s">
        <v>22</v>
      </c>
      <c r="C22" s="67" t="s">
        <v>2</v>
      </c>
      <c r="D22" s="67" t="s">
        <v>40</v>
      </c>
      <c r="E22" s="67" t="s">
        <v>41</v>
      </c>
      <c r="F22" s="68" t="s">
        <v>23</v>
      </c>
      <c r="G22" s="68"/>
      <c r="H22" s="67" t="s">
        <v>24</v>
      </c>
      <c r="I22" s="68" t="s">
        <v>5</v>
      </c>
    </row>
    <row r="23" spans="1:9" ht="20">
      <c r="A23" s="67"/>
      <c r="B23" s="68"/>
      <c r="C23" s="67"/>
      <c r="D23" s="83"/>
      <c r="E23" s="83"/>
      <c r="F23" s="10" t="s">
        <v>25</v>
      </c>
      <c r="G23" s="2" t="s">
        <v>26</v>
      </c>
      <c r="H23" s="67"/>
      <c r="I23" s="68"/>
    </row>
    <row r="24" spans="1:9" ht="15.5" customHeight="1">
      <c r="A24" s="82" t="s">
        <v>49</v>
      </c>
      <c r="B24" s="76" t="s">
        <v>46</v>
      </c>
      <c r="C24" s="77"/>
      <c r="D24" s="70">
        <v>4</v>
      </c>
      <c r="E24" s="21">
        <f>G18</f>
        <v>89.103069571042525</v>
      </c>
      <c r="F24" s="70">
        <f>10*LOG((10^(0.1*E24)+10^(0.1*E25)+10^(E26*0.1))/3)</f>
        <v>85.038151747136226</v>
      </c>
      <c r="G24" s="64">
        <f>10*LOG((D24+D27+D30)/8)+10*LOG((D24*10^(0.1*F24)+D27*10^(0.1*F27)+D30*10^(0.1*F30))/(D24+D27+D30))</f>
        <v>82.17113144811762</v>
      </c>
      <c r="H24" s="70">
        <v>85</v>
      </c>
      <c r="I24" s="84" t="str">
        <f>IF(G24&lt;H24,"符合","不符合")</f>
        <v>符合</v>
      </c>
    </row>
    <row r="25" spans="1:9" ht="15.5" customHeight="1">
      <c r="A25" s="82"/>
      <c r="B25" s="78"/>
      <c r="C25" s="79"/>
      <c r="D25" s="71"/>
      <c r="E25" s="21">
        <f>G19</f>
        <v>79.106905010354609</v>
      </c>
      <c r="F25" s="71"/>
      <c r="G25" s="65"/>
      <c r="H25" s="71"/>
      <c r="I25" s="85"/>
    </row>
    <row r="26" spans="1:9" ht="15.5" customHeight="1">
      <c r="A26" s="82"/>
      <c r="B26" s="80"/>
      <c r="C26" s="81"/>
      <c r="D26" s="72"/>
      <c r="E26" s="21">
        <f>G20</f>
        <v>77.940441679454921</v>
      </c>
      <c r="F26" s="72"/>
      <c r="G26" s="65"/>
      <c r="H26" s="71"/>
      <c r="I26" s="85"/>
    </row>
    <row r="27" spans="1:9" ht="17" customHeight="1">
      <c r="A27" s="82"/>
      <c r="B27" s="76" t="s">
        <v>47</v>
      </c>
      <c r="C27" s="77"/>
      <c r="D27" s="70">
        <v>4</v>
      </c>
      <c r="E27" s="21">
        <v>70</v>
      </c>
      <c r="F27" s="70">
        <f>10*LOG((10^(0.1*E27)+10^(0.1*E28)+10^(E29*0.1))/3)</f>
        <v>70.293990769695952</v>
      </c>
      <c r="G27" s="65"/>
      <c r="H27" s="71"/>
      <c r="I27" s="85"/>
    </row>
    <row r="28" spans="1:9" ht="17" customHeight="1">
      <c r="A28" s="82"/>
      <c r="B28" s="78"/>
      <c r="C28" s="79"/>
      <c r="D28" s="71"/>
      <c r="E28" s="21">
        <v>70.499999999999986</v>
      </c>
      <c r="F28" s="71"/>
      <c r="G28" s="65"/>
      <c r="H28" s="71"/>
      <c r="I28" s="85"/>
    </row>
    <row r="29" spans="1:9" ht="17" customHeight="1">
      <c r="A29" s="82"/>
      <c r="B29" s="80"/>
      <c r="C29" s="81"/>
      <c r="D29" s="72"/>
      <c r="E29" s="21">
        <v>70.36666666666666</v>
      </c>
      <c r="F29" s="72"/>
      <c r="G29" s="65"/>
      <c r="H29" s="71"/>
      <c r="I29" s="85"/>
    </row>
    <row r="30" spans="1:9" ht="17" customHeight="1">
      <c r="A30" s="82"/>
      <c r="B30" s="76" t="s">
        <v>48</v>
      </c>
      <c r="C30" s="77"/>
      <c r="D30" s="70"/>
      <c r="E30" s="21"/>
      <c r="F30" s="70">
        <f>10*LOG((10^(0.1*E30)+10^(0.1*E31)+10^(E32*0.1))/3)</f>
        <v>0</v>
      </c>
      <c r="G30" s="65"/>
      <c r="H30" s="71"/>
      <c r="I30" s="85"/>
    </row>
    <row r="31" spans="1:9" ht="17" customHeight="1">
      <c r="A31" s="82"/>
      <c r="B31" s="78"/>
      <c r="C31" s="79"/>
      <c r="D31" s="71"/>
      <c r="E31" s="21"/>
      <c r="F31" s="71"/>
      <c r="G31" s="65"/>
      <c r="H31" s="71"/>
      <c r="I31" s="85"/>
    </row>
    <row r="32" spans="1:9" ht="17" customHeight="1">
      <c r="A32" s="82"/>
      <c r="B32" s="80"/>
      <c r="C32" s="81"/>
      <c r="D32" s="72"/>
      <c r="E32" s="21"/>
      <c r="F32" s="72"/>
      <c r="G32" s="66"/>
      <c r="H32" s="72"/>
      <c r="I32" s="86"/>
    </row>
    <row r="33" spans="1:9" ht="20">
      <c r="A33" s="67" t="s">
        <v>0</v>
      </c>
      <c r="B33" s="68" t="s">
        <v>22</v>
      </c>
      <c r="C33" s="67" t="s">
        <v>2</v>
      </c>
      <c r="D33" s="67" t="s">
        <v>40</v>
      </c>
      <c r="E33" s="67" t="s">
        <v>41</v>
      </c>
      <c r="F33" s="68" t="s">
        <v>23</v>
      </c>
      <c r="G33" s="68"/>
      <c r="H33" s="67" t="s">
        <v>24</v>
      </c>
      <c r="I33" s="68" t="s">
        <v>5</v>
      </c>
    </row>
    <row r="34" spans="1:9" ht="20">
      <c r="A34" s="67"/>
      <c r="B34" s="68"/>
      <c r="C34" s="67"/>
      <c r="D34" s="83"/>
      <c r="E34" s="83"/>
      <c r="F34" s="10" t="s">
        <v>25</v>
      </c>
      <c r="G34" s="2" t="s">
        <v>42</v>
      </c>
      <c r="H34" s="67"/>
      <c r="I34" s="68"/>
    </row>
    <row r="35" spans="1:9" ht="15.5" customHeight="1">
      <c r="A35" s="73" t="s">
        <v>44</v>
      </c>
      <c r="B35" s="76" t="s">
        <v>46</v>
      </c>
      <c r="C35" s="77"/>
      <c r="D35" s="70">
        <v>4</v>
      </c>
      <c r="E35" s="21">
        <v>71</v>
      </c>
      <c r="F35" s="61">
        <f>10*LOG((10^(0.1*E35)+10^(0.1*E36)+10^(E37*0.1))/3)</f>
        <v>89.267668744761977</v>
      </c>
      <c r="G35" s="64">
        <f>10*LOG(10^(0.1*(10*LOG((D35*10^(0.1*F35)+D38*10^(0.1*F38)+D41*10^(0.1*F41))/(D35+D38+D41))))*(D44/5))</f>
        <v>86.312030166416761</v>
      </c>
      <c r="H35" s="61">
        <v>85</v>
      </c>
      <c r="I35" s="62" t="str">
        <f>IF(G35&lt;H35,"符合","不符合")</f>
        <v>不符合</v>
      </c>
    </row>
    <row r="36" spans="1:9" ht="15.5" customHeight="1">
      <c r="A36" s="74"/>
      <c r="B36" s="78"/>
      <c r="C36" s="79"/>
      <c r="D36" s="71"/>
      <c r="E36" s="21">
        <v>70</v>
      </c>
      <c r="F36" s="61"/>
      <c r="G36" s="65"/>
      <c r="H36" s="61"/>
      <c r="I36" s="63"/>
    </row>
    <row r="37" spans="1:9" ht="15.5" customHeight="1">
      <c r="A37" s="74"/>
      <c r="B37" s="80"/>
      <c r="C37" s="81"/>
      <c r="D37" s="72"/>
      <c r="E37" s="21">
        <v>94</v>
      </c>
      <c r="F37" s="61"/>
      <c r="G37" s="65"/>
      <c r="H37" s="61"/>
      <c r="I37" s="63"/>
    </row>
    <row r="38" spans="1:9" ht="17" customHeight="1">
      <c r="A38" s="74"/>
      <c r="B38" s="76" t="s">
        <v>47</v>
      </c>
      <c r="C38" s="77"/>
      <c r="D38" s="70">
        <v>4</v>
      </c>
      <c r="E38" s="21">
        <v>70</v>
      </c>
      <c r="F38" s="61">
        <f>10*LOG((10^(0.1*E38)+10^(0.1*E39)+10^(E40*0.1))/3)</f>
        <v>70.293990769695952</v>
      </c>
      <c r="G38" s="65"/>
      <c r="H38" s="61"/>
      <c r="I38" s="63"/>
    </row>
    <row r="39" spans="1:9" ht="17" customHeight="1">
      <c r="A39" s="74"/>
      <c r="B39" s="78"/>
      <c r="C39" s="79"/>
      <c r="D39" s="71"/>
      <c r="E39" s="21">
        <v>70.499999999999986</v>
      </c>
      <c r="F39" s="61"/>
      <c r="G39" s="65"/>
      <c r="H39" s="61"/>
      <c r="I39" s="63"/>
    </row>
    <row r="40" spans="1:9" ht="17" customHeight="1">
      <c r="A40" s="74"/>
      <c r="B40" s="80"/>
      <c r="C40" s="81"/>
      <c r="D40" s="72"/>
      <c r="E40" s="21">
        <v>70.36666666666666</v>
      </c>
      <c r="F40" s="61"/>
      <c r="G40" s="65"/>
      <c r="H40" s="61"/>
      <c r="I40" s="63"/>
    </row>
    <row r="41" spans="1:9" ht="17" customHeight="1">
      <c r="A41" s="74"/>
      <c r="B41" s="76" t="s">
        <v>48</v>
      </c>
      <c r="C41" s="77"/>
      <c r="D41" s="70"/>
      <c r="E41" s="21"/>
      <c r="F41" s="61">
        <f>10*LOG((10^(0.1*E41)+10^(0.1*E42)+10^(E43*0.1))/3)</f>
        <v>0</v>
      </c>
      <c r="G41" s="65"/>
      <c r="H41" s="61"/>
      <c r="I41" s="63"/>
    </row>
    <row r="42" spans="1:9" ht="17" customHeight="1">
      <c r="A42" s="74"/>
      <c r="B42" s="78"/>
      <c r="C42" s="79"/>
      <c r="D42" s="71"/>
      <c r="E42" s="21"/>
      <c r="F42" s="61"/>
      <c r="G42" s="65"/>
      <c r="H42" s="61"/>
      <c r="I42" s="63"/>
    </row>
    <row r="43" spans="1:9" ht="17" customHeight="1">
      <c r="A43" s="75"/>
      <c r="B43" s="80"/>
      <c r="C43" s="81"/>
      <c r="D43" s="72"/>
      <c r="E43" s="21"/>
      <c r="F43" s="61"/>
      <c r="G43" s="66"/>
      <c r="H43" s="61"/>
      <c r="I43" s="63"/>
    </row>
    <row r="44" spans="1:9" ht="15.5">
      <c r="A44" s="69" t="s">
        <v>45</v>
      </c>
      <c r="B44" s="69"/>
      <c r="C44" s="69"/>
      <c r="D44" s="1">
        <v>5</v>
      </c>
      <c r="F44" s="16"/>
      <c r="H44" s="17"/>
    </row>
    <row r="45" spans="1:9" ht="15.5">
      <c r="D45" s="20"/>
      <c r="E45" s="20"/>
      <c r="F45" s="20"/>
    </row>
    <row r="46" spans="1:9" ht="15.5">
      <c r="D46" s="20"/>
      <c r="E46" s="20"/>
      <c r="F46" s="20"/>
    </row>
    <row r="47" spans="1:9" ht="15.5">
      <c r="D47" s="20"/>
      <c r="E47" s="20"/>
      <c r="F47" s="20"/>
    </row>
    <row r="48" spans="1:9" ht="15.5">
      <c r="D48" s="20"/>
      <c r="E48" s="20"/>
      <c r="F48" s="20"/>
    </row>
    <row r="52" spans="1:10" ht="15">
      <c r="A52" s="91" t="s">
        <v>39</v>
      </c>
      <c r="B52" s="91"/>
      <c r="C52" s="91"/>
      <c r="D52" s="91"/>
      <c r="E52" s="91"/>
      <c r="F52" s="91"/>
      <c r="G52" s="91"/>
      <c r="H52" s="91"/>
      <c r="I52" s="91"/>
      <c r="J52" s="91"/>
    </row>
    <row r="53" spans="1:10" ht="44.5" customHeight="1">
      <c r="A53" s="92" t="s">
        <v>28</v>
      </c>
      <c r="B53" s="92" t="s">
        <v>29</v>
      </c>
      <c r="C53" s="92" t="s">
        <v>30</v>
      </c>
      <c r="D53" s="92" t="s">
        <v>31</v>
      </c>
      <c r="E53" s="15"/>
      <c r="F53" s="92" t="s">
        <v>32</v>
      </c>
      <c r="G53" s="92" t="s">
        <v>33</v>
      </c>
      <c r="H53" s="92" t="s">
        <v>34</v>
      </c>
      <c r="I53" s="92" t="s">
        <v>35</v>
      </c>
      <c r="J53" s="92" t="s">
        <v>5</v>
      </c>
    </row>
    <row r="54" spans="1:10" ht="15">
      <c r="A54" s="92"/>
      <c r="B54" s="92"/>
      <c r="C54" s="92"/>
      <c r="D54" s="92"/>
      <c r="E54" s="15"/>
      <c r="F54" s="92"/>
      <c r="G54" s="92"/>
      <c r="H54" s="92"/>
      <c r="I54" s="92"/>
      <c r="J54" s="92"/>
    </row>
    <row r="55" spans="1:10" ht="15">
      <c r="A55" s="93" t="s">
        <v>15</v>
      </c>
      <c r="B55" s="94"/>
      <c r="C55" s="99">
        <v>0.5</v>
      </c>
      <c r="D55" s="11" t="s">
        <v>36</v>
      </c>
      <c r="E55" s="11"/>
      <c r="F55" s="7">
        <v>11.6</v>
      </c>
      <c r="G55" s="90">
        <f>MAX(F55:F57)</f>
        <v>11.9</v>
      </c>
      <c r="H55" s="102">
        <f>G55*SQRT(C55/8)</f>
        <v>2.9750000000000001</v>
      </c>
      <c r="I55" s="54">
        <v>5000</v>
      </c>
      <c r="J55" s="90" t="str">
        <f>IF(H55&lt;I55,"符合","不符合")</f>
        <v>符合</v>
      </c>
    </row>
    <row r="56" spans="1:10" ht="15">
      <c r="A56" s="95"/>
      <c r="B56" s="96"/>
      <c r="C56" s="100"/>
      <c r="D56" s="11" t="s">
        <v>37</v>
      </c>
      <c r="E56" s="11"/>
      <c r="F56" s="7">
        <v>11.1</v>
      </c>
      <c r="G56" s="90"/>
      <c r="H56" s="102"/>
      <c r="I56" s="54"/>
      <c r="J56" s="90"/>
    </row>
    <row r="57" spans="1:10" ht="15">
      <c r="A57" s="97"/>
      <c r="B57" s="98"/>
      <c r="C57" s="101"/>
      <c r="D57" s="11" t="s">
        <v>38</v>
      </c>
      <c r="E57" s="14"/>
      <c r="F57" s="4">
        <v>11.9</v>
      </c>
      <c r="G57" s="90"/>
      <c r="H57" s="102"/>
      <c r="I57" s="54"/>
      <c r="J57" s="90"/>
    </row>
    <row r="58" spans="1:10" ht="15.5">
      <c r="A58" s="93" t="s">
        <v>16</v>
      </c>
      <c r="B58" s="94"/>
      <c r="C58" s="99">
        <v>0.5</v>
      </c>
      <c r="D58" s="12" t="s">
        <v>36</v>
      </c>
      <c r="E58" s="12"/>
      <c r="F58" s="1">
        <v>11.6</v>
      </c>
      <c r="G58" s="103">
        <f>MAX(F58:F60)</f>
        <v>11.9</v>
      </c>
      <c r="H58" s="31">
        <f>SQRT((1/8)*(C58*G58^2+C61*G61^2+C64*G64^2))</f>
        <v>3.2642954829488096</v>
      </c>
      <c r="I58" s="55">
        <v>5000</v>
      </c>
      <c r="J58" s="47" t="str">
        <f>IF(H58&lt;I58,"符合","不符合")</f>
        <v>符合</v>
      </c>
    </row>
    <row r="59" spans="1:10" ht="15.5">
      <c r="A59" s="95"/>
      <c r="B59" s="96"/>
      <c r="C59" s="100"/>
      <c r="D59" s="12" t="s">
        <v>37</v>
      </c>
      <c r="E59" s="12"/>
      <c r="F59" s="1">
        <v>11.1</v>
      </c>
      <c r="G59" s="103"/>
      <c r="H59" s="32"/>
      <c r="I59" s="56"/>
      <c r="J59" s="48"/>
    </row>
    <row r="60" spans="1:10" ht="15.5">
      <c r="A60" s="95"/>
      <c r="B60" s="96"/>
      <c r="C60" s="101"/>
      <c r="D60" s="12" t="s">
        <v>38</v>
      </c>
      <c r="E60" s="12"/>
      <c r="F60" s="1">
        <v>11.9</v>
      </c>
      <c r="G60" s="103"/>
      <c r="H60" s="32"/>
      <c r="I60" s="56"/>
      <c r="J60" s="48"/>
    </row>
    <row r="61" spans="1:10" ht="15.5">
      <c r="A61" s="95"/>
      <c r="B61" s="96"/>
      <c r="C61" s="99">
        <v>0.5</v>
      </c>
      <c r="D61" s="12" t="s">
        <v>36</v>
      </c>
      <c r="E61" s="12"/>
      <c r="F61" s="1">
        <v>3.7</v>
      </c>
      <c r="G61" s="103">
        <f>MAX(F61:F63)</f>
        <v>3.8</v>
      </c>
      <c r="H61" s="32"/>
      <c r="I61" s="56"/>
      <c r="J61" s="48"/>
    </row>
    <row r="62" spans="1:10" ht="15.5">
      <c r="A62" s="95"/>
      <c r="B62" s="96"/>
      <c r="C62" s="100"/>
      <c r="D62" s="12" t="s">
        <v>37</v>
      </c>
      <c r="E62" s="12"/>
      <c r="F62" s="1">
        <v>3.5</v>
      </c>
      <c r="G62" s="103"/>
      <c r="H62" s="32"/>
      <c r="I62" s="56"/>
      <c r="J62" s="48"/>
    </row>
    <row r="63" spans="1:10" ht="15.5">
      <c r="A63" s="95"/>
      <c r="B63" s="96"/>
      <c r="C63" s="101"/>
      <c r="D63" s="12" t="s">
        <v>38</v>
      </c>
      <c r="E63" s="12"/>
      <c r="F63" s="1">
        <v>3.8</v>
      </c>
      <c r="G63" s="103"/>
      <c r="H63" s="32"/>
      <c r="I63" s="56"/>
      <c r="J63" s="48"/>
    </row>
    <row r="64" spans="1:10" ht="15.5">
      <c r="A64" s="95"/>
      <c r="B64" s="96"/>
      <c r="C64" s="99">
        <v>0.5</v>
      </c>
      <c r="D64" s="11" t="s">
        <v>36</v>
      </c>
      <c r="E64" s="11"/>
      <c r="F64" s="1">
        <v>3.7</v>
      </c>
      <c r="G64" s="90">
        <f>MAX(F64:F66)</f>
        <v>3.8</v>
      </c>
      <c r="H64" s="32"/>
      <c r="I64" s="56"/>
      <c r="J64" s="48"/>
    </row>
    <row r="65" spans="1:12" ht="15.5">
      <c r="A65" s="95"/>
      <c r="B65" s="96"/>
      <c r="C65" s="100"/>
      <c r="D65" s="11" t="s">
        <v>37</v>
      </c>
      <c r="E65" s="11"/>
      <c r="F65" s="1">
        <v>3.5</v>
      </c>
      <c r="G65" s="90"/>
      <c r="H65" s="32"/>
      <c r="I65" s="56"/>
      <c r="J65" s="48"/>
    </row>
    <row r="66" spans="1:12" ht="15.5">
      <c r="A66" s="97"/>
      <c r="B66" s="98"/>
      <c r="C66" s="101"/>
      <c r="D66" s="11" t="s">
        <v>38</v>
      </c>
      <c r="E66" s="11"/>
      <c r="F66" s="1">
        <v>3.8</v>
      </c>
      <c r="G66" s="90"/>
      <c r="H66" s="33"/>
      <c r="I66" s="57"/>
      <c r="J66" s="49"/>
    </row>
    <row r="70" spans="1:12">
      <c r="D70">
        <v>80.099999999999994</v>
      </c>
      <c r="F70">
        <v>78.099999999999994</v>
      </c>
    </row>
    <row r="71" spans="1:12">
      <c r="D71">
        <v>80.2</v>
      </c>
    </row>
    <row r="72" spans="1:12">
      <c r="D72">
        <v>77.8</v>
      </c>
      <c r="F72">
        <f>(D70+D71+D72)/3</f>
        <v>79.366666666666674</v>
      </c>
    </row>
    <row r="75" spans="1:12">
      <c r="B75" s="13"/>
      <c r="G75">
        <v>410</v>
      </c>
      <c r="H75">
        <v>359</v>
      </c>
      <c r="I75">
        <v>430</v>
      </c>
      <c r="J75">
        <v>410</v>
      </c>
      <c r="K75">
        <v>512</v>
      </c>
      <c r="L75">
        <v>360</v>
      </c>
    </row>
  </sheetData>
  <mergeCells count="100">
    <mergeCell ref="A7:C9"/>
    <mergeCell ref="A12:C14"/>
    <mergeCell ref="A10:A11"/>
    <mergeCell ref="B10:B11"/>
    <mergeCell ref="C10:C11"/>
    <mergeCell ref="A58:B66"/>
    <mergeCell ref="H58:H66"/>
    <mergeCell ref="I58:I66"/>
    <mergeCell ref="F7:F9"/>
    <mergeCell ref="E5:E6"/>
    <mergeCell ref="G7:G9"/>
    <mergeCell ref="H7:H9"/>
    <mergeCell ref="I7:I9"/>
    <mergeCell ref="D7:D9"/>
    <mergeCell ref="D12:D14"/>
    <mergeCell ref="F12:F14"/>
    <mergeCell ref="G12:G14"/>
    <mergeCell ref="H12:H14"/>
    <mergeCell ref="I12:I14"/>
    <mergeCell ref="F10:G10"/>
    <mergeCell ref="D10:D11"/>
    <mergeCell ref="J58:J66"/>
    <mergeCell ref="C61:C63"/>
    <mergeCell ref="G61:G63"/>
    <mergeCell ref="C58:C60"/>
    <mergeCell ref="G58:G60"/>
    <mergeCell ref="C64:C66"/>
    <mergeCell ref="G64:G66"/>
    <mergeCell ref="J55:J57"/>
    <mergeCell ref="A52:J52"/>
    <mergeCell ref="A53:A54"/>
    <mergeCell ref="B53:B54"/>
    <mergeCell ref="D53:D54"/>
    <mergeCell ref="A55:B57"/>
    <mergeCell ref="C55:C57"/>
    <mergeCell ref="G55:G57"/>
    <mergeCell ref="H55:H57"/>
    <mergeCell ref="I55:I57"/>
    <mergeCell ref="C53:C54"/>
    <mergeCell ref="F53:F54"/>
    <mergeCell ref="G53:G54"/>
    <mergeCell ref="H53:H54"/>
    <mergeCell ref="I53:I54"/>
    <mergeCell ref="J53:J54"/>
    <mergeCell ref="I5:I6"/>
    <mergeCell ref="A4:I4"/>
    <mergeCell ref="A5:A6"/>
    <mergeCell ref="B5:B6"/>
    <mergeCell ref="C5:C6"/>
    <mergeCell ref="D5:D6"/>
    <mergeCell ref="F5:G5"/>
    <mergeCell ref="H5:H6"/>
    <mergeCell ref="I24:I32"/>
    <mergeCell ref="H24:H32"/>
    <mergeCell ref="E10:E11"/>
    <mergeCell ref="H10:H11"/>
    <mergeCell ref="I10:I11"/>
    <mergeCell ref="A21:I21"/>
    <mergeCell ref="A22:A23"/>
    <mergeCell ref="B22:B23"/>
    <mergeCell ref="C22:C23"/>
    <mergeCell ref="D22:D23"/>
    <mergeCell ref="E22:E23"/>
    <mergeCell ref="F22:G22"/>
    <mergeCell ref="H22:H23"/>
    <mergeCell ref="I22:I23"/>
    <mergeCell ref="A15:C15"/>
    <mergeCell ref="F38:F40"/>
    <mergeCell ref="F41:F43"/>
    <mergeCell ref="F27:F29"/>
    <mergeCell ref="F30:F32"/>
    <mergeCell ref="D35:D37"/>
    <mergeCell ref="F35:F37"/>
    <mergeCell ref="D33:D34"/>
    <mergeCell ref="E33:E34"/>
    <mergeCell ref="F33:G33"/>
    <mergeCell ref="G24:G32"/>
    <mergeCell ref="D24:D26"/>
    <mergeCell ref="F24:F26"/>
    <mergeCell ref="A44:C44"/>
    <mergeCell ref="D38:D40"/>
    <mergeCell ref="D41:D43"/>
    <mergeCell ref="D27:D29"/>
    <mergeCell ref="D30:D32"/>
    <mergeCell ref="A35:A43"/>
    <mergeCell ref="B35:C37"/>
    <mergeCell ref="B38:C40"/>
    <mergeCell ref="B41:C43"/>
    <mergeCell ref="A33:A34"/>
    <mergeCell ref="B33:B34"/>
    <mergeCell ref="C33:C34"/>
    <mergeCell ref="A24:A32"/>
    <mergeCell ref="B24:C26"/>
    <mergeCell ref="B27:C29"/>
    <mergeCell ref="B30:C32"/>
    <mergeCell ref="H35:H43"/>
    <mergeCell ref="I35:I43"/>
    <mergeCell ref="G35:G43"/>
    <mergeCell ref="H33:H34"/>
    <mergeCell ref="I33:I34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2CC35-A457-4227-8013-CE3BB03BC22E}">
  <dimension ref="A1:N11"/>
  <sheetViews>
    <sheetView workbookViewId="0">
      <selection activeCell="C17" sqref="C17"/>
    </sheetView>
  </sheetViews>
  <sheetFormatPr defaultRowHeight="14"/>
  <sheetData>
    <row r="1" spans="1:14">
      <c r="A1">
        <v>410</v>
      </c>
      <c r="B1">
        <v>359</v>
      </c>
      <c r="C1">
        <v>430</v>
      </c>
      <c r="D1">
        <v>410</v>
      </c>
      <c r="E1">
        <v>512</v>
      </c>
      <c r="F1">
        <v>360</v>
      </c>
      <c r="H1" s="23">
        <f>A1*0.98</f>
        <v>401.8</v>
      </c>
      <c r="I1" s="23">
        <f t="shared" ref="I1:M1" si="0">B1*0.98</f>
        <v>351.82</v>
      </c>
      <c r="J1" s="23">
        <f t="shared" si="0"/>
        <v>421.4</v>
      </c>
      <c r="K1" s="23">
        <f t="shared" si="0"/>
        <v>401.8</v>
      </c>
      <c r="L1" s="23">
        <f t="shared" si="0"/>
        <v>501.76</v>
      </c>
      <c r="M1" s="23">
        <f t="shared" si="0"/>
        <v>352.8</v>
      </c>
      <c r="N1" s="23">
        <f>AVERAGE(H1:M1)</f>
        <v>405.23</v>
      </c>
    </row>
    <row r="2" spans="1:14">
      <c r="A2">
        <v>310</v>
      </c>
      <c r="B2">
        <v>315</v>
      </c>
      <c r="C2">
        <v>320</v>
      </c>
      <c r="D2">
        <v>311</v>
      </c>
      <c r="E2">
        <v>305</v>
      </c>
      <c r="F2">
        <v>338</v>
      </c>
      <c r="H2" s="23">
        <f t="shared" ref="H2:H11" si="1">A2*0.98</f>
        <v>303.8</v>
      </c>
      <c r="I2" s="23">
        <f t="shared" ref="I2:I11" si="2">B2*0.98</f>
        <v>308.7</v>
      </c>
      <c r="J2" s="23">
        <f t="shared" ref="J2:J11" si="3">C2*0.98</f>
        <v>313.60000000000002</v>
      </c>
      <c r="K2" s="23">
        <f t="shared" ref="K2:K11" si="4">D2*0.98</f>
        <v>304.77999999999997</v>
      </c>
      <c r="L2" s="23">
        <f t="shared" ref="L2:L11" si="5">E2*0.98</f>
        <v>298.89999999999998</v>
      </c>
      <c r="M2" s="23">
        <f t="shared" ref="M2:M11" si="6">F2*0.98</f>
        <v>331.24</v>
      </c>
      <c r="N2" s="23">
        <f t="shared" ref="N2:N11" si="7">AVERAGE(H2:M2)</f>
        <v>310.17</v>
      </c>
    </row>
    <row r="3" spans="1:14">
      <c r="A3">
        <v>354</v>
      </c>
      <c r="B3">
        <v>350</v>
      </c>
      <c r="C3">
        <v>321</v>
      </c>
      <c r="D3">
        <v>332</v>
      </c>
      <c r="E3">
        <v>345</v>
      </c>
      <c r="F3">
        <v>410</v>
      </c>
      <c r="H3" s="23">
        <f t="shared" si="1"/>
        <v>346.92</v>
      </c>
      <c r="I3" s="23">
        <f t="shared" si="2"/>
        <v>343</v>
      </c>
      <c r="J3" s="23">
        <f t="shared" si="3"/>
        <v>314.58</v>
      </c>
      <c r="K3" s="23">
        <f t="shared" si="4"/>
        <v>325.36</v>
      </c>
      <c r="L3" s="23">
        <f t="shared" si="5"/>
        <v>338.09999999999997</v>
      </c>
      <c r="M3" s="23">
        <f t="shared" si="6"/>
        <v>401.8</v>
      </c>
      <c r="N3" s="23">
        <f t="shared" si="7"/>
        <v>344.96000000000004</v>
      </c>
    </row>
    <row r="4" spans="1:14">
      <c r="H4" s="23">
        <f t="shared" si="1"/>
        <v>0</v>
      </c>
      <c r="I4" s="23">
        <f t="shared" si="2"/>
        <v>0</v>
      </c>
      <c r="J4" s="23">
        <f t="shared" si="3"/>
        <v>0</v>
      </c>
      <c r="K4" s="23">
        <f t="shared" si="4"/>
        <v>0</v>
      </c>
      <c r="L4" s="23">
        <f t="shared" si="5"/>
        <v>0</v>
      </c>
      <c r="M4" s="23">
        <f t="shared" si="6"/>
        <v>0</v>
      </c>
      <c r="N4" s="23">
        <f t="shared" si="7"/>
        <v>0</v>
      </c>
    </row>
    <row r="5" spans="1:14">
      <c r="A5">
        <v>415</v>
      </c>
      <c r="B5">
        <v>438</v>
      </c>
      <c r="C5">
        <v>380</v>
      </c>
      <c r="D5">
        <v>510</v>
      </c>
      <c r="E5">
        <v>405</v>
      </c>
      <c r="F5">
        <v>350</v>
      </c>
      <c r="H5" s="23">
        <f t="shared" si="1"/>
        <v>406.7</v>
      </c>
      <c r="I5" s="23">
        <f t="shared" si="2"/>
        <v>429.24</v>
      </c>
      <c r="J5" s="23">
        <f t="shared" si="3"/>
        <v>372.4</v>
      </c>
      <c r="K5" s="23">
        <f t="shared" si="4"/>
        <v>499.8</v>
      </c>
      <c r="L5" s="23">
        <f t="shared" si="5"/>
        <v>396.9</v>
      </c>
      <c r="M5" s="23">
        <f t="shared" si="6"/>
        <v>343</v>
      </c>
      <c r="N5" s="23">
        <f t="shared" si="7"/>
        <v>408.00666666666666</v>
      </c>
    </row>
    <row r="6" spans="1:14">
      <c r="A6">
        <v>325</v>
      </c>
      <c r="B6">
        <v>335</v>
      </c>
      <c r="C6">
        <v>380</v>
      </c>
      <c r="D6">
        <v>315</v>
      </c>
      <c r="E6">
        <v>308</v>
      </c>
      <c r="F6">
        <v>318</v>
      </c>
      <c r="H6" s="23">
        <f t="shared" si="1"/>
        <v>318.5</v>
      </c>
      <c r="I6" s="23">
        <f t="shared" si="2"/>
        <v>328.3</v>
      </c>
      <c r="J6" s="23">
        <f t="shared" si="3"/>
        <v>372.4</v>
      </c>
      <c r="K6" s="23">
        <f t="shared" si="4"/>
        <v>308.7</v>
      </c>
      <c r="L6" s="23">
        <f t="shared" si="5"/>
        <v>301.83999999999997</v>
      </c>
      <c r="M6" s="23">
        <f t="shared" si="6"/>
        <v>311.64</v>
      </c>
      <c r="N6" s="23">
        <f t="shared" si="7"/>
        <v>323.56333333333328</v>
      </c>
    </row>
    <row r="7" spans="1:14">
      <c r="A7">
        <v>445</v>
      </c>
      <c r="B7">
        <v>350</v>
      </c>
      <c r="C7">
        <v>415</v>
      </c>
      <c r="D7">
        <v>520</v>
      </c>
      <c r="E7">
        <v>510</v>
      </c>
      <c r="F7">
        <v>480</v>
      </c>
      <c r="H7" s="23">
        <f t="shared" si="1"/>
        <v>436.09999999999997</v>
      </c>
      <c r="I7" s="23">
        <f t="shared" si="2"/>
        <v>343</v>
      </c>
      <c r="J7" s="23">
        <f t="shared" si="3"/>
        <v>406.7</v>
      </c>
      <c r="K7" s="23">
        <f t="shared" si="4"/>
        <v>509.59999999999997</v>
      </c>
      <c r="L7" s="23">
        <f t="shared" si="5"/>
        <v>499.8</v>
      </c>
      <c r="M7" s="23">
        <f t="shared" si="6"/>
        <v>470.4</v>
      </c>
      <c r="N7" s="23">
        <f t="shared" si="7"/>
        <v>444.26666666666665</v>
      </c>
    </row>
    <row r="8" spans="1:14">
      <c r="H8" s="23">
        <f t="shared" si="1"/>
        <v>0</v>
      </c>
      <c r="I8" s="23">
        <f t="shared" si="2"/>
        <v>0</v>
      </c>
      <c r="J8" s="23">
        <f t="shared" si="3"/>
        <v>0</v>
      </c>
      <c r="K8" s="23">
        <f t="shared" si="4"/>
        <v>0</v>
      </c>
      <c r="L8" s="23">
        <f t="shared" si="5"/>
        <v>0</v>
      </c>
      <c r="M8" s="23">
        <f t="shared" si="6"/>
        <v>0</v>
      </c>
      <c r="N8" s="23">
        <f t="shared" si="7"/>
        <v>0</v>
      </c>
    </row>
    <row r="9" spans="1:14">
      <c r="A9">
        <v>445</v>
      </c>
      <c r="B9">
        <v>423</v>
      </c>
      <c r="C9">
        <v>380</v>
      </c>
      <c r="D9">
        <v>512</v>
      </c>
      <c r="E9">
        <v>415</v>
      </c>
      <c r="F9">
        <v>377</v>
      </c>
      <c r="H9" s="23">
        <f t="shared" si="1"/>
        <v>436.09999999999997</v>
      </c>
      <c r="I9" s="23">
        <f t="shared" si="2"/>
        <v>414.54</v>
      </c>
      <c r="J9" s="23">
        <f t="shared" si="3"/>
        <v>372.4</v>
      </c>
      <c r="K9" s="23">
        <f t="shared" si="4"/>
        <v>501.76</v>
      </c>
      <c r="L9" s="23">
        <f t="shared" si="5"/>
        <v>406.7</v>
      </c>
      <c r="M9" s="23">
        <f t="shared" si="6"/>
        <v>369.46</v>
      </c>
      <c r="N9" s="23">
        <f t="shared" si="7"/>
        <v>416.82666666666665</v>
      </c>
    </row>
    <row r="10" spans="1:14">
      <c r="A10">
        <v>350</v>
      </c>
      <c r="B10">
        <v>315</v>
      </c>
      <c r="C10">
        <v>330</v>
      </c>
      <c r="D10">
        <v>332</v>
      </c>
      <c r="E10">
        <v>354</v>
      </c>
      <c r="F10">
        <v>342</v>
      </c>
      <c r="H10" s="23">
        <f t="shared" si="1"/>
        <v>343</v>
      </c>
      <c r="I10" s="23">
        <f t="shared" si="2"/>
        <v>308.7</v>
      </c>
      <c r="J10" s="23">
        <f t="shared" si="3"/>
        <v>323.39999999999998</v>
      </c>
      <c r="K10" s="23">
        <f t="shared" si="4"/>
        <v>325.36</v>
      </c>
      <c r="L10" s="23">
        <f t="shared" si="5"/>
        <v>346.92</v>
      </c>
      <c r="M10" s="23">
        <f t="shared" si="6"/>
        <v>335.15999999999997</v>
      </c>
      <c r="N10" s="23">
        <f t="shared" si="7"/>
        <v>330.42333333333335</v>
      </c>
    </row>
    <row r="11" spans="1:14">
      <c r="A11">
        <v>370</v>
      </c>
      <c r="B11">
        <v>385</v>
      </c>
      <c r="C11">
        <v>354</v>
      </c>
      <c r="D11">
        <v>421</v>
      </c>
      <c r="E11">
        <v>435</v>
      </c>
      <c r="F11">
        <v>378</v>
      </c>
      <c r="H11" s="23">
        <f t="shared" si="1"/>
        <v>362.59999999999997</v>
      </c>
      <c r="I11" s="23">
        <f t="shared" si="2"/>
        <v>377.3</v>
      </c>
      <c r="J11" s="23">
        <f t="shared" si="3"/>
        <v>346.92</v>
      </c>
      <c r="K11" s="23">
        <f t="shared" si="4"/>
        <v>412.58</v>
      </c>
      <c r="L11" s="23">
        <f t="shared" si="5"/>
        <v>426.3</v>
      </c>
      <c r="M11" s="23">
        <f t="shared" si="6"/>
        <v>370.44</v>
      </c>
      <c r="N11" s="23">
        <f t="shared" si="7"/>
        <v>382.69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化学因素</vt:lpstr>
      <vt:lpstr>物理因素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仪衡 钧</cp:lastModifiedBy>
  <dcterms:created xsi:type="dcterms:W3CDTF">2015-06-05T18:19:34Z</dcterms:created>
  <dcterms:modified xsi:type="dcterms:W3CDTF">2025-09-30T10:48:44Z</dcterms:modified>
</cp:coreProperties>
</file>